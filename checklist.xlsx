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" sheetId="1" r:id="rId5"/>
    <sheet state="visible" name="balance sheet" sheetId="2" r:id="rId6"/>
    <sheet state="visible" name="checklist1" sheetId="3" r:id="rId7"/>
    <sheet state="visible" name="delievered" sheetId="4" r:id="rId8"/>
    <sheet state="visible" name="provincewise" sheetId="5" r:id="rId9"/>
    <sheet state="visible" name="return order" sheetId="6" r:id="rId10"/>
    <sheet state="visible" name="provincewise1" sheetId="7" r:id="rId11"/>
    <sheet state="visible" name="checklist2" sheetId="8" r:id="rId12"/>
    <sheet state="visible" name="performance" sheetId="9" r:id="rId13"/>
    <sheet state="visible" name="Sheet12" sheetId="10" r:id="rId14"/>
    <sheet state="visible" name="mighty one" sheetId="11" r:id="rId15"/>
  </sheets>
  <definedNames>
    <definedName hidden="1" localSheetId="0" name="_xlnm._FilterDatabase">reference!$A$1:$J$188</definedName>
    <definedName hidden="1" localSheetId="2" name="_xlnm._FilterDatabase">checklist1!$A$1:$J$124</definedName>
  </definedNames>
  <calcPr/>
</workbook>
</file>

<file path=xl/sharedStrings.xml><?xml version="1.0" encoding="utf-8"?>
<sst xmlns="http://schemas.openxmlformats.org/spreadsheetml/2006/main" count="1303" uniqueCount="696">
  <si>
    <t>Order created at</t>
  </si>
  <si>
    <t>Order description</t>
  </si>
  <si>
    <t>Recipient name</t>
  </si>
  <si>
    <t>Recipient address</t>
  </si>
  <si>
    <t>Recipient phone</t>
  </si>
  <si>
    <t>proft</t>
  </si>
  <si>
    <t>Collected amount</t>
  </si>
  <si>
    <t>Total fee</t>
  </si>
  <si>
    <t>Order status</t>
  </si>
  <si>
    <t>Order status 2</t>
  </si>
  <si>
    <t xml:space="preserve">Martin 2 sole half </t>
  </si>
  <si>
    <t>Amit Magar</t>
  </si>
  <si>
    <t xml:space="preserve">Dharan, bhanu chowk </t>
  </si>
  <si>
    <t>Delivered</t>
  </si>
  <si>
    <t>N and red 37 and 40</t>
  </si>
  <si>
    <t>Prabin karki</t>
  </si>
  <si>
    <t>Solukhumbu tingla</t>
  </si>
  <si>
    <t>Martin 1 sole 42</t>
  </si>
  <si>
    <t>Smriti and Smaran store (Smriti And Smaran Store)</t>
  </si>
  <si>
    <t>Jorpati, Sano bazaar shop no. 25, Kathmandu,27.721747093899435, 85.37363752197368</t>
  </si>
  <si>
    <t>Returned To Merchant</t>
  </si>
  <si>
    <t>Red Nike 40</t>
  </si>
  <si>
    <t>Martin 1 sole 36</t>
  </si>
  <si>
    <t>Manoj</t>
  </si>
  <si>
    <t>Sundarijal, ktm dobato chowk</t>
  </si>
  <si>
    <t>Martin 3 sole 41</t>
  </si>
  <si>
    <t>Manish Bishwokarma</t>
  </si>
  <si>
    <t xml:space="preserve">Tanahun, dulegauda </t>
  </si>
  <si>
    <t>Blue Nike 39</t>
  </si>
  <si>
    <t>Rajdip Chudal</t>
  </si>
  <si>
    <t>Haldibari 4, magalbare jhapa</t>
  </si>
  <si>
    <t>Martin 3 sole size 39 39 38</t>
  </si>
  <si>
    <t>Laxmi Rai</t>
  </si>
  <si>
    <t xml:space="preserve"> Shree antu, baral bhanjyang</t>
  </si>
  <si>
    <t>Nike 11 red and Martin 2 sole 42 and 43</t>
  </si>
  <si>
    <t>Dipak Shah</t>
  </si>
  <si>
    <t>Tinkune, the new summit college</t>
  </si>
  <si>
    <t>Bishwas</t>
  </si>
  <si>
    <t xml:space="preserve">Chitwan, tandi </t>
  </si>
  <si>
    <t>Return</t>
  </si>
  <si>
    <t>Rishav Shah</t>
  </si>
  <si>
    <t xml:space="preserve">Birgunj, murlibagaicha </t>
  </si>
  <si>
    <t>Martin 1 sole 43</t>
  </si>
  <si>
    <t>Chandra Bohara</t>
  </si>
  <si>
    <t>Dadeldhura, bagbazzar tufandadko check najik police bit</t>
  </si>
  <si>
    <t>Martin 2 sole 40</t>
  </si>
  <si>
    <t>Prabin Karki</t>
  </si>
  <si>
    <t>Solukhumbu, tingla</t>
  </si>
  <si>
    <t>Blue Nike size 42</t>
  </si>
  <si>
    <t>Biraj Tamang</t>
  </si>
  <si>
    <t xml:space="preserve">Jhapa, budhabare or buddhashanti </t>
  </si>
  <si>
    <t>Sujan Jagebu Limbu</t>
  </si>
  <si>
    <t>Jhapa, birtamod karat chowk Road no 1</t>
  </si>
  <si>
    <t>Casual Adidas shoes 41</t>
  </si>
  <si>
    <t>Asmirt Tamang</t>
  </si>
  <si>
    <t>Pokhara</t>
  </si>
  <si>
    <t>Martin 2 sole 39 nayabasti</t>
  </si>
  <si>
    <t>Anil Khadgi</t>
  </si>
  <si>
    <t>Sitapaila mathi ramkot</t>
  </si>
  <si>
    <t>Martin 3 sole size 43</t>
  </si>
  <si>
    <t>Bikash</t>
  </si>
  <si>
    <t>Rolpa, ghartghau</t>
  </si>
  <si>
    <t>Chelsea size 43</t>
  </si>
  <si>
    <t>Dipendra Chaudhari</t>
  </si>
  <si>
    <t>Chitwan, madi</t>
  </si>
  <si>
    <t>Martin 3 sole size 41</t>
  </si>
  <si>
    <t>Ninam Rai</t>
  </si>
  <si>
    <t>Taplejung</t>
  </si>
  <si>
    <t>Converse black size 40</t>
  </si>
  <si>
    <t>Ajeet Khadka</t>
  </si>
  <si>
    <t>Bhaktapur, bageswari changunarayan nabarpalika wada no 7</t>
  </si>
  <si>
    <t>Martin single 41 and 42</t>
  </si>
  <si>
    <t>Sitaram Pun</t>
  </si>
  <si>
    <t>Pyuthan, sari</t>
  </si>
  <si>
    <t>Martin 3 sole size  39</t>
  </si>
  <si>
    <t>Bali Rawat</t>
  </si>
  <si>
    <t>Nepalgunj, muktpur 12, haltpost najik</t>
  </si>
  <si>
    <t>Martin single 42</t>
  </si>
  <si>
    <t>Shree krishna</t>
  </si>
  <si>
    <t>Ghalate, bhaktapur</t>
  </si>
  <si>
    <t>Martin triple sole size 40</t>
  </si>
  <si>
    <t>Aashish Gautam</t>
  </si>
  <si>
    <t>Baitadi, patan, metallic municipality 7, kanda bazzar</t>
  </si>
  <si>
    <t>Martin 3 sole size 40</t>
  </si>
  <si>
    <t>Prince Shrestha</t>
  </si>
  <si>
    <t xml:space="preserve">Beni bazzar </t>
  </si>
  <si>
    <t xml:space="preserve">Nike 40 Black white </t>
  </si>
  <si>
    <t>Siddhartha Gautam</t>
  </si>
  <si>
    <t>Kathmandu,Balkot big mart, Brihaspati marga</t>
  </si>
  <si>
    <t>Martin naysbasti 3 sole 41</t>
  </si>
  <si>
    <t>Santosh</t>
  </si>
  <si>
    <t>Dang, ghorahi</t>
  </si>
  <si>
    <t>Martin half 2 sole 39</t>
  </si>
  <si>
    <t>Sudip Darnal</t>
  </si>
  <si>
    <t>Sangwale ward 4, sindhuli</t>
  </si>
  <si>
    <t>Sr smile 41</t>
  </si>
  <si>
    <t>Bibash Thapa</t>
  </si>
  <si>
    <t>Gulariya 6, bardiya</t>
  </si>
  <si>
    <t>Martin nayabasti factory 40</t>
  </si>
  <si>
    <t>Nischal Tamang</t>
  </si>
  <si>
    <t>Dingla, bhojpur</t>
  </si>
  <si>
    <t>Martin single sole 42</t>
  </si>
  <si>
    <t>Rohan Bam</t>
  </si>
  <si>
    <t>Bardageriya gaupalika, ward no 2, kumbiya, kailali</t>
  </si>
  <si>
    <t>Nie 11 red and black exchanged product of DS290725HNHQ5K</t>
  </si>
  <si>
    <t>Raj Thegim Limbu</t>
  </si>
  <si>
    <t>Jalthal, jhapa</t>
  </si>
  <si>
    <t>Pickup Cancel</t>
  </si>
  <si>
    <t>Martin single sole 41</t>
  </si>
  <si>
    <t>Santosh Pariyar</t>
  </si>
  <si>
    <t>Gogli chowk, dang</t>
  </si>
  <si>
    <t>Sr gray 42</t>
  </si>
  <si>
    <t>Subarth Kunwar</t>
  </si>
  <si>
    <t>Baneshwor soa and swimming pool or ananda events and meeting</t>
  </si>
  <si>
    <t>Martin 3 sole size 39</t>
  </si>
  <si>
    <t>Nie 11 red and black</t>
  </si>
  <si>
    <t>White Nike 37</t>
  </si>
  <si>
    <t>Gaurav Jaiswal</t>
  </si>
  <si>
    <t>Nepalgunj, dhamboji chowk siddhartha Bank najik</t>
  </si>
  <si>
    <t>Ktm, sundarijal dobato chowk</t>
  </si>
  <si>
    <t>Chelsea size 41</t>
  </si>
  <si>
    <t>Sudesh Shrestha</t>
  </si>
  <si>
    <t>Sundar haraicha 12, biratchowk Road no 12</t>
  </si>
  <si>
    <t>Sb dunk 41</t>
  </si>
  <si>
    <t>Sijan Shrestha</t>
  </si>
  <si>
    <t>Beni, myagdi</t>
  </si>
  <si>
    <t xml:space="preserve">Red Nike </t>
  </si>
  <si>
    <t>Aayush Panthi</t>
  </si>
  <si>
    <t>Butwal, bhakwari 7, lec college side</t>
  </si>
  <si>
    <t>Dark brown 40</t>
  </si>
  <si>
    <t>Govinda Khatiwada</t>
  </si>
  <si>
    <t>Salleri bazar, solukhumbu</t>
  </si>
  <si>
    <t>Size 39 Martin 3 sole</t>
  </si>
  <si>
    <t>Rohan</t>
  </si>
  <si>
    <t>Manakamana suit hotel, gogechaur, banepa</t>
  </si>
  <si>
    <t>Single sole Martin 43</t>
  </si>
  <si>
    <t>Ankit Rajbanshi</t>
  </si>
  <si>
    <t>Mechinagar-10, dhulabari, jhapa</t>
  </si>
  <si>
    <t>Kevin Tamang</t>
  </si>
  <si>
    <t>Chitwan, pokhara buspark</t>
  </si>
  <si>
    <t>Brown 40</t>
  </si>
  <si>
    <t>Toshu Sah</t>
  </si>
  <si>
    <t>Chyasal, lalitpur</t>
  </si>
  <si>
    <t>Vans 40</t>
  </si>
  <si>
    <t>Martin half double sole</t>
  </si>
  <si>
    <t>Abhishek rokaya</t>
  </si>
  <si>
    <t>Durbarmarg , yakyeti marg Jane bato</t>
  </si>
  <si>
    <t>Sky blue Nike size 42</t>
  </si>
  <si>
    <t>Rohan Grg Prajoo</t>
  </si>
  <si>
    <t>Tersapatti 3 pokhara</t>
  </si>
  <si>
    <t>Red Nike 43</t>
  </si>
  <si>
    <t>Sagar</t>
  </si>
  <si>
    <t>Dhangadhi bhakat chowk, ward no. 9</t>
  </si>
  <si>
    <t>Nike white and vans 41</t>
  </si>
  <si>
    <t>Manoj Parsai</t>
  </si>
  <si>
    <t>Nayabazar 10, pokhara, kaski</t>
  </si>
  <si>
    <t>Sr sports and vans 42</t>
  </si>
  <si>
    <t>Abhishek Shrestha</t>
  </si>
  <si>
    <t>Tokha, kathmandu</t>
  </si>
  <si>
    <t>Dark brown 42</t>
  </si>
  <si>
    <t>Suraj Gyawali</t>
  </si>
  <si>
    <t>Parsyang pokhara</t>
  </si>
  <si>
    <t>Vans 42</t>
  </si>
  <si>
    <t>Bhuwan Dev</t>
  </si>
  <si>
    <t xml:space="preserve">Soil management dictorate harihar bhawan, lalitpur </t>
  </si>
  <si>
    <t>Srawon Magar</t>
  </si>
  <si>
    <t>Sindhuli bazzar, kabiram</t>
  </si>
  <si>
    <t>Dunk Low pro 39</t>
  </si>
  <si>
    <t>Arpan Neupane</t>
  </si>
  <si>
    <t>Kharaney path, leknath kaski</t>
  </si>
  <si>
    <t>Vans 41</t>
  </si>
  <si>
    <t>Menal Shrestha</t>
  </si>
  <si>
    <t>Steel Tower, jawalakhel</t>
  </si>
  <si>
    <t>Vans size 40</t>
  </si>
  <si>
    <t>Arjun</t>
  </si>
  <si>
    <t>Simara, iccha hotel</t>
  </si>
  <si>
    <t>Sr delta size 39</t>
  </si>
  <si>
    <t>Sanjit Tamang</t>
  </si>
  <si>
    <t>Sirutar, bhaktapur</t>
  </si>
  <si>
    <t>Vans 43</t>
  </si>
  <si>
    <t>Newar Shyam</t>
  </si>
  <si>
    <t>Pakhapani, dang</t>
  </si>
  <si>
    <t>Gray 42</t>
  </si>
  <si>
    <t>Diwash</t>
  </si>
  <si>
    <t>Morang pathari</t>
  </si>
  <si>
    <t>Nike White and gray 43</t>
  </si>
  <si>
    <t>Nishan sigdel</t>
  </si>
  <si>
    <t>Sunsari, ramdhuni bhasi, lalpur</t>
  </si>
  <si>
    <t>Brown 39 nike</t>
  </si>
  <si>
    <t>Samir Khadka</t>
  </si>
  <si>
    <t>Mullani, manakamana mandir</t>
  </si>
  <si>
    <t>Nike 11 red 44</t>
  </si>
  <si>
    <t>Dipesh Bhusal</t>
  </si>
  <si>
    <t>Accham district, sanfebagar</t>
  </si>
  <si>
    <t>Aashish Chaudhary</t>
  </si>
  <si>
    <t>Krishnapur 2, bani kanchanpur, beni bazzar</t>
  </si>
  <si>
    <t>Aashish Aryal</t>
  </si>
  <si>
    <t>Sunwal 13, badera</t>
  </si>
  <si>
    <t>Red full size 42 skating</t>
  </si>
  <si>
    <t>Cea high school, balaju</t>
  </si>
  <si>
    <t>Vans size 42</t>
  </si>
  <si>
    <t>Abhishek</t>
  </si>
  <si>
    <t>Biratchowk, morang</t>
  </si>
  <si>
    <t>Morang, biratchowk</t>
  </si>
  <si>
    <t>Exchanging product due to mismatched size</t>
  </si>
  <si>
    <t>Sabin pandey</t>
  </si>
  <si>
    <t>Morang, thydia</t>
  </si>
  <si>
    <t>Exchange</t>
  </si>
  <si>
    <t>Brown Nike size 38</t>
  </si>
  <si>
    <t>Mousam lama</t>
  </si>
  <si>
    <t>Bhadrapur-2, jhapa, sagarmatha</t>
  </si>
  <si>
    <t>Dark brown size 42</t>
  </si>
  <si>
    <t>Vans full size 40</t>
  </si>
  <si>
    <t>Martin size 41 double sole</t>
  </si>
  <si>
    <t>Abhishek tamang</t>
  </si>
  <si>
    <t>Itahari, sathi petrol pump</t>
  </si>
  <si>
    <t>Martin double sole size 40</t>
  </si>
  <si>
    <t xml:space="preserve">Krishna shrestha </t>
  </si>
  <si>
    <t>Syangja District, waling municipality</t>
  </si>
  <si>
    <t xml:space="preserve">Utsav Nike 40 </t>
  </si>
  <si>
    <t>Adib aslam</t>
  </si>
  <si>
    <t>Near kinderjoy montessori, tikathali</t>
  </si>
  <si>
    <t>Vans and Nike size 41 and 42</t>
  </si>
  <si>
    <t>Sandip pariyar</t>
  </si>
  <si>
    <t>Pokhara, leknath argau chowk</t>
  </si>
  <si>
    <t>Nike size 43</t>
  </si>
  <si>
    <t>Digital chaudhary</t>
  </si>
  <si>
    <t>Saptari, kalyanpur</t>
  </si>
  <si>
    <t>Samba shoes size 42</t>
  </si>
  <si>
    <t>Aashish basnet</t>
  </si>
  <si>
    <t>Sainamaina 9, basgandhi rupandehi</t>
  </si>
  <si>
    <t>Vans shoes size 43</t>
  </si>
  <si>
    <t>Sujal</t>
  </si>
  <si>
    <t>Pokhara birauta, ram mandir</t>
  </si>
  <si>
    <t>Sr shoes size 42</t>
  </si>
  <si>
    <t>Near kinderjoy Montessori, tikathali</t>
  </si>
  <si>
    <t>Nike black n white sports size 42</t>
  </si>
  <si>
    <t>Mani Yadav</t>
  </si>
  <si>
    <t>Pokhariya nagarpalika, basanpur tole</t>
  </si>
  <si>
    <t>Utsav shoes size 42</t>
  </si>
  <si>
    <t>Dipen khadka</t>
  </si>
  <si>
    <t>Bharatpur 21, parbatipur</t>
  </si>
  <si>
    <t>Tbl and vans size 43</t>
  </si>
  <si>
    <t>Tankeeyy</t>
  </si>
  <si>
    <t>Jantabasti pipal Chowk, itahari</t>
  </si>
  <si>
    <t>Chelsea and Nike sr size 43</t>
  </si>
  <si>
    <t>Ajay pragyan</t>
  </si>
  <si>
    <t>Gulmi, tamgash</t>
  </si>
  <si>
    <t>Dark brown size 41</t>
  </si>
  <si>
    <t>Alone boy</t>
  </si>
  <si>
    <t>Syangja, arjunchaupari</t>
  </si>
  <si>
    <t>Vans half shoes 40</t>
  </si>
  <si>
    <t>Taha Khan</t>
  </si>
  <si>
    <t>Mp school Road, nepal gunj</t>
  </si>
  <si>
    <t>White Nike size 42</t>
  </si>
  <si>
    <t>Kharani shoes size 43</t>
  </si>
  <si>
    <t>Manish poudel</t>
  </si>
  <si>
    <t>Dr. Martin size 40</t>
  </si>
  <si>
    <t>Suresh tenzing tamang</t>
  </si>
  <si>
    <t>Swayambhu man mohan hospital aagadi</t>
  </si>
  <si>
    <t>Samba shoes size 43</t>
  </si>
  <si>
    <t>Sudip</t>
  </si>
  <si>
    <t>Tokha road, nature club resataurant</t>
  </si>
  <si>
    <t>Brown shoes size 41</t>
  </si>
  <si>
    <t>Pujan acharya</t>
  </si>
  <si>
    <t>Itahari</t>
  </si>
  <si>
    <t>Rajan</t>
  </si>
  <si>
    <t xml:space="preserve">Indrachowk, new road </t>
  </si>
  <si>
    <t>Brown Nike size 40 and 38 as well adidas size 42</t>
  </si>
  <si>
    <t>White shoes size 42</t>
  </si>
  <si>
    <t>Morang thydia</t>
  </si>
  <si>
    <t>Sukdev thapa</t>
  </si>
  <si>
    <t>Dang lamahi</t>
  </si>
  <si>
    <t>Nisan tamang</t>
  </si>
  <si>
    <t>Dhulabari</t>
  </si>
  <si>
    <t>Nike blue shoes and white size 41</t>
  </si>
  <si>
    <t>Shree Krishna sapkota</t>
  </si>
  <si>
    <t>Beni bazzar, myagdi</t>
  </si>
  <si>
    <t>Sr shoes size 43</t>
  </si>
  <si>
    <t>Samir kc</t>
  </si>
  <si>
    <t xml:space="preserve">
Location-thinthana,munalclub</t>
  </si>
  <si>
    <t>Dr. Martin single sole of size 40</t>
  </si>
  <si>
    <t>Surest tenzing tamang</t>
  </si>
  <si>
    <t>Man mohan hospital aagadi, swoyambhu</t>
  </si>
  <si>
    <t>Irfan</t>
  </si>
  <si>
    <t>Hatiban, harsidhi sarkari school</t>
  </si>
  <si>
    <t>Partial Delivery</t>
  </si>
  <si>
    <t>Lofer black size 39</t>
  </si>
  <si>
    <t>MD noore nabi</t>
  </si>
  <si>
    <t>Butwal, pharsatikar 4</t>
  </si>
  <si>
    <t>Bibek rai</t>
  </si>
  <si>
    <t xml:space="preserve">Lalitpur, purna Chandi mandir </t>
  </si>
  <si>
    <t>Brown Nike size 41</t>
  </si>
  <si>
    <t>Nisan or jibika tamang</t>
  </si>
  <si>
    <t>Brown Nike of size 36</t>
  </si>
  <si>
    <t>Salin</t>
  </si>
  <si>
    <t>Dilli bazzar, ktm</t>
  </si>
  <si>
    <t>Sohail</t>
  </si>
  <si>
    <t>Binam kasmetik and gift shop, kalanki</t>
  </si>
  <si>
    <t>Vans shoes size 37</t>
  </si>
  <si>
    <t>Bikash chaulagain</t>
  </si>
  <si>
    <t>Kalikot tadi</t>
  </si>
  <si>
    <t>White shoes size 43</t>
  </si>
  <si>
    <t>Nabin</t>
  </si>
  <si>
    <t>Bhaktapur duwakot near kmc hospital</t>
  </si>
  <si>
    <t>Sr shoes size 39</t>
  </si>
  <si>
    <t>Siddharth</t>
  </si>
  <si>
    <t>PepsiCola kapur garden, ktm</t>
  </si>
  <si>
    <t>Samba shoes size 37</t>
  </si>
  <si>
    <t>Jenny kumal</t>
  </si>
  <si>
    <t>Kushma parbat</t>
  </si>
  <si>
    <t>Dr. Martin single sole size 41</t>
  </si>
  <si>
    <t>Ram karki</t>
  </si>
  <si>
    <t>Bhojpur</t>
  </si>
  <si>
    <t>Sport shoes Nike waterproof size 42</t>
  </si>
  <si>
    <t>Dil Bahadur pariyar</t>
  </si>
  <si>
    <t>Pokhara 18, besitol near baglung buspark</t>
  </si>
  <si>
    <t>Red jordan</t>
  </si>
  <si>
    <t>Aditya mukhiya bin</t>
  </si>
  <si>
    <t>Mmc college road, manakamana chowk, hetauda</t>
  </si>
  <si>
    <t>Maroon full Jordan of size 42</t>
  </si>
  <si>
    <t>Dany</t>
  </si>
  <si>
    <t>Katari, udayapur</t>
  </si>
  <si>
    <t>Red full Jordan and white Nike of size 41 costing RS. 1200 each</t>
  </si>
  <si>
    <t>Arman Kapar</t>
  </si>
  <si>
    <t>Gyanseshwor Chowk opposite of German embassy</t>
  </si>
  <si>
    <t>Sb dunk low pro of size 42 costing RS. 1200</t>
  </si>
  <si>
    <t>Iman Panta</t>
  </si>
  <si>
    <t>Dungedhara-16, basanthali</t>
  </si>
  <si>
    <t>Black Nike shoes of size 43 costing RS. 1200</t>
  </si>
  <si>
    <t>Roshan Rajbanshi</t>
  </si>
  <si>
    <t>Kakarvitta( Mechinagar-7, satighatta)</t>
  </si>
  <si>
    <t>Chocolaty Nike and black tbl of size 43 costing RS 1200 each</t>
  </si>
  <si>
    <t>Marco Kapali</t>
  </si>
  <si>
    <t>Thankoat</t>
  </si>
  <si>
    <t>Veins size 40 costing RS. 1200</t>
  </si>
  <si>
    <t>Dharan, bhanuchowk</t>
  </si>
  <si>
    <t>Jordan blue of size 43 and as well sb dunk low pro of size 42 costing RS. 1200 each</t>
  </si>
  <si>
    <t>Gyaneshwor chowk</t>
  </si>
  <si>
    <t>Jordan Vietnam red shoes and sb dunk low pro blue of size 42 costing RS. 1200 each</t>
  </si>
  <si>
    <t>Vans shoes of size 43 costing RS. 1200</t>
  </si>
  <si>
    <t>Diwas Baidwars</t>
  </si>
  <si>
    <t>Kantipath, jamal</t>
  </si>
  <si>
    <t>Vans shoes of size 40</t>
  </si>
  <si>
    <t>Madan Khanal</t>
  </si>
  <si>
    <t>Milanchowk, butwal</t>
  </si>
  <si>
    <t>Black Nike of size 41 costing RS 1200</t>
  </si>
  <si>
    <t>Tarzan Chhantyal</t>
  </si>
  <si>
    <t>Dilu beauty parlour, tokha</t>
  </si>
  <si>
    <t>White and light chocolate Nike of size 42 costing RS. 1200 each</t>
  </si>
  <si>
    <t>Rojbin Shrestha</t>
  </si>
  <si>
    <t xml:space="preserve">Sankhuwabha, bhanjyang ko lekhawali chwork </t>
  </si>
  <si>
    <t>Black Nike  and blue Jordan of size 42 each costing rs 1200 and 1200</t>
  </si>
  <si>
    <t>Gyaneshwor marg chowk</t>
  </si>
  <si>
    <t>nike black shoes of size 41</t>
  </si>
  <si>
    <t>Prabin Bishwokarma</t>
  </si>
  <si>
    <t>suman driving centre, sukhedhara</t>
  </si>
  <si>
    <t>nike black 43</t>
  </si>
  <si>
    <t>Nischal Kamat</t>
  </si>
  <si>
    <t>sani mandir, biratnagar</t>
  </si>
  <si>
    <t>black and brown shoes of size 39 each costing Rs 1200 each</t>
  </si>
  <si>
    <t>Shree Krishna Sapkota</t>
  </si>
  <si>
    <t>beni, myagdi</t>
  </si>
  <si>
    <t>black nike sneakers of size 42 costing rs 1200</t>
  </si>
  <si>
    <t>Rohit Ghimire</t>
  </si>
  <si>
    <t>chahabhil, ganesthan, gangahiti</t>
  </si>
  <si>
    <t>nike light chocolate shoes of size 43 costing rs 1200</t>
  </si>
  <si>
    <t>Raaj Gurung</t>
  </si>
  <si>
    <t>galeswor chowk</t>
  </si>
  <si>
    <t>white nike sneakers of size 43 costing rs 1200</t>
  </si>
  <si>
    <t>Aashish Ghimire</t>
  </si>
  <si>
    <t>saljhandi, sainamaina</t>
  </si>
  <si>
    <t>veins shoes of size 39 costing rs 1200</t>
  </si>
  <si>
    <t>Sworup Chhetry</t>
  </si>
  <si>
    <t>satungal, gagan pharmacy</t>
  </si>
  <si>
    <t>lv green shoes of size 41 costing rs 1200</t>
  </si>
  <si>
    <t>Rupak Khanal</t>
  </si>
  <si>
    <t>birtamode, jhapa</t>
  </si>
  <si>
    <t>blue clothes jordan of size 39 costing rs 1200</t>
  </si>
  <si>
    <t>Prabin Lamichhane</t>
  </si>
  <si>
    <t>putali bazar - 3, syangja</t>
  </si>
  <si>
    <t>Lv shoes of green costing 1200</t>
  </si>
  <si>
    <t xml:space="preserve"> Dipesh Bhattarai </t>
  </si>
  <si>
    <t xml:space="preserve"> Ilam municipality-1 Nepaltar,Ilam</t>
  </si>
  <si>
    <t>Veins shoes of size 42 costing rs 1200</t>
  </si>
  <si>
    <t>Javed osta</t>
  </si>
  <si>
    <t>Narsing chowk, chengu Hotel, thamel</t>
  </si>
  <si>
    <t xml:space="preserve">two shoes jordan vietnam and lv green of size 43 costing 1200 each </t>
  </si>
  <si>
    <t>Sachin Sunar</t>
  </si>
  <si>
    <t>nawalpur, rajahar</t>
  </si>
  <si>
    <t>dior shoes of size 42 costing rs 1200</t>
  </si>
  <si>
    <t>Tahir khan</t>
  </si>
  <si>
    <t>Lumbini, sanskrit nagarpalika</t>
  </si>
  <si>
    <t>Dr. Martin shoes of size 43 costing rs 1500</t>
  </si>
  <si>
    <t>Saroj basnet</t>
  </si>
  <si>
    <t>Vdc office, duwakot, changunarayan, bhaktapur</t>
  </si>
  <si>
    <t>Af 1 shoes costing rs 1200 of size 42</t>
  </si>
  <si>
    <t>Kushal chhetry</t>
  </si>
  <si>
    <t>Kushma, parbat</t>
  </si>
  <si>
    <t>Green and lv shoes of size 42 costing rs 1200 and rs 1200</t>
  </si>
  <si>
    <t>Samrat rai</t>
  </si>
  <si>
    <t>Lalitpur, imadol, sanogau, near bhatbhateni</t>
  </si>
  <si>
    <t>Converse all star shoes which cost 1600</t>
  </si>
  <si>
    <t>Sanjip Gurung</t>
  </si>
  <si>
    <t>Fikkal, ilam</t>
  </si>
  <si>
    <t>Two shoes one for ladies and other for gents costing 1500 and 1500</t>
  </si>
  <si>
    <t>Rabindra khadka</t>
  </si>
  <si>
    <t>Duwakot, mahankal Chowk, bhaktapur</t>
  </si>
  <si>
    <t>Tbl shoes costing 2200 already gave 100 so final price 2100</t>
  </si>
  <si>
    <t>Binod Pandey</t>
  </si>
  <si>
    <t>Army bahrek, ghorahi</t>
  </si>
  <si>
    <t>Nike printed shoes costing rs 1500</t>
  </si>
  <si>
    <t>Bhuwan Majhi</t>
  </si>
  <si>
    <t>Surunga dhekhi 20 km tala jhapa bazzar</t>
  </si>
  <si>
    <t>Classy shoes costing rs 1500 already gave rs 150 so final price rs 1350</t>
  </si>
  <si>
    <t>Sushil Luitel</t>
  </si>
  <si>
    <t>Dharan, Bhanu Chowk, clock tower</t>
  </si>
  <si>
    <t>M shoes and price 1500 but gave advance 200  so collecting amount 1300</t>
  </si>
  <si>
    <t>Amar Dahit</t>
  </si>
  <si>
    <t>Karma international skill training institute, gyaneswor, kalopool, kathmandu</t>
  </si>
  <si>
    <t>Shoes cost</t>
  </si>
  <si>
    <t>Pm general store</t>
  </si>
  <si>
    <t>Month</t>
  </si>
  <si>
    <t>Cost price</t>
  </si>
  <si>
    <t>profit margin</t>
  </si>
  <si>
    <t>ad cost</t>
  </si>
  <si>
    <t>net profit</t>
  </si>
  <si>
    <t>Revenue</t>
  </si>
  <si>
    <t xml:space="preserve"> Gross Profit</t>
  </si>
  <si>
    <t>D fee</t>
  </si>
  <si>
    <t>R fee</t>
  </si>
  <si>
    <t>Delivered Orders</t>
  </si>
  <si>
    <t>Returned Orders</t>
  </si>
  <si>
    <t>Total Orders</t>
  </si>
  <si>
    <t>Delivery Rate</t>
  </si>
  <si>
    <t>Return Rate</t>
  </si>
  <si>
    <t>Active Days</t>
  </si>
  <si>
    <t>Inactive Days</t>
  </si>
  <si>
    <t>Most Order Created Date</t>
  </si>
  <si>
    <t>**January**</t>
  </si>
  <si>
    <t>N/A</t>
  </si>
  <si>
    <t>**February**</t>
  </si>
  <si>
    <t>**March**</t>
  </si>
  <si>
    <t>**April**</t>
  </si>
  <si>
    <t>2025-04-30 (7)</t>
  </si>
  <si>
    <t>**May**</t>
  </si>
  <si>
    <t>2025-05-29 (12)</t>
  </si>
  <si>
    <t>**June**</t>
  </si>
  <si>
    <t>2025-06-03 (11)</t>
  </si>
  <si>
    <t>**July**</t>
  </si>
  <si>
    <t>2025-07-19 (6)</t>
  </si>
  <si>
    <t>**August**</t>
  </si>
  <si>
    <t>2025-08-24 (5)</t>
  </si>
  <si>
    <t>**September**</t>
  </si>
  <si>
    <t>2025-09-16 (2)</t>
  </si>
  <si>
    <t>**October**</t>
  </si>
  <si>
    <t>**November**</t>
  </si>
  <si>
    <t>**December**</t>
  </si>
  <si>
    <t>**Total**</t>
  </si>
  <si>
    <t>**189,840**</t>
  </si>
  <si>
    <t>**54,940**</t>
  </si>
  <si>
    <t>**11,711.79**</t>
  </si>
  <si>
    <t>**3,224.90**</t>
  </si>
  <si>
    <t>**14,936.69**</t>
  </si>
  <si>
    <t>**123**</t>
  </si>
  <si>
    <t>**28**</t>
  </si>
  <si>
    <t>**151**</t>
  </si>
  <si>
    <t>**81.46%**</t>
  </si>
  <si>
    <t>**18.54%**</t>
  </si>
  <si>
    <t>**41**</t>
  </si>
  <si>
    <t>**324**</t>
  </si>
  <si>
    <t>**-**</t>
  </si>
  <si>
    <t>Tierwise</t>
  </si>
  <si>
    <t>Province</t>
  </si>
  <si>
    <t>Koshi</t>
  </si>
  <si>
    <t>Tier 1</t>
  </si>
  <si>
    <t>Tier 2</t>
  </si>
  <si>
    <t>Tier 3</t>
  </si>
  <si>
    <t>Total</t>
  </si>
  <si>
    <t>Bagmati</t>
  </si>
  <si>
    <t>**Bagmati**</t>
  </si>
  <si>
    <t>**43**</t>
  </si>
  <si>
    <t>Gandaki</t>
  </si>
  <si>
    <t>**Koshi**</t>
  </si>
  <si>
    <t>**33**</t>
  </si>
  <si>
    <t>**Gandaki**</t>
  </si>
  <si>
    <t>**21**</t>
  </si>
  <si>
    <t>Madhesh</t>
  </si>
  <si>
    <t>**Lumbini**</t>
  </si>
  <si>
    <t>**18**</t>
  </si>
  <si>
    <t>**Sudurpashchim**</t>
  </si>
  <si>
    <t>**4**</t>
  </si>
  <si>
    <t>Sudurpashchim</t>
  </si>
  <si>
    <t>**Madhesh**</t>
  </si>
  <si>
    <t>**3**</t>
  </si>
  <si>
    <t>**Karnali**</t>
  </si>
  <si>
    <t>**1**</t>
  </si>
  <si>
    <t>123</t>
  </si>
  <si>
    <t>Lumbini</t>
  </si>
  <si>
    <t>Karnali</t>
  </si>
  <si>
    <t>inside Valley</t>
  </si>
  <si>
    <t>Collectable Amount</t>
  </si>
  <si>
    <t>Cash on delivery</t>
  </si>
  <si>
    <t>Order status updated at</t>
  </si>
  <si>
    <t>Brown Nike 40</t>
  </si>
  <si>
    <t>Aashish Thakuri</t>
  </si>
  <si>
    <t>Dang, lamahi bazzar</t>
  </si>
  <si>
    <t>Yes</t>
  </si>
  <si>
    <t>Utsav 41</t>
  </si>
  <si>
    <t>Janak Karki</t>
  </si>
  <si>
    <t xml:space="preserve">Dailekh, dullu nagarpalika ward 4, bhandari ghau </t>
  </si>
  <si>
    <t>White Nike 42</t>
  </si>
  <si>
    <t>Sushi Yogi</t>
  </si>
  <si>
    <t xml:space="preserve">Tokha, chandeswari </t>
  </si>
  <si>
    <t>Red Nike 42</t>
  </si>
  <si>
    <t>Krishna Saud</t>
  </si>
  <si>
    <t>Kailali, lamki</t>
  </si>
  <si>
    <t>Martin 3 sole 40</t>
  </si>
  <si>
    <t>Magar Samuyal</t>
  </si>
  <si>
    <t xml:space="preserve">Dailey Jilla, dullu gaupalika </t>
  </si>
  <si>
    <t>Red Nike and smile 40</t>
  </si>
  <si>
    <t>Abhishek Rana Magar</t>
  </si>
  <si>
    <t>Okhaldunga, manebhanjyang view</t>
  </si>
  <si>
    <t>Chelsea and black Nike 40</t>
  </si>
  <si>
    <t xml:space="preserve">Bir Tamang </t>
  </si>
  <si>
    <t>Lakeside pokhara, vakunde</t>
  </si>
  <si>
    <t>Chom Xettry</t>
  </si>
  <si>
    <t xml:space="preserve">Rolpa, sulichaur </t>
  </si>
  <si>
    <t>Sr shoes 40</t>
  </si>
  <si>
    <t>Nawraj Shah</t>
  </si>
  <si>
    <t>Biratnagar, new moon school ward 18</t>
  </si>
  <si>
    <t>35 size blue nike</t>
  </si>
  <si>
    <t>Alex</t>
  </si>
  <si>
    <t>rasuwa</t>
  </si>
  <si>
    <t>Sr smile 43</t>
  </si>
  <si>
    <t>Resham Tamang</t>
  </si>
  <si>
    <t>Melamchi bazar</t>
  </si>
  <si>
    <t>Vans full 40</t>
  </si>
  <si>
    <t>Anish Hamal</t>
  </si>
  <si>
    <t>Pokhara hemja, sundaripuri chowk 1 ma</t>
  </si>
  <si>
    <t>Vans shoes</t>
  </si>
  <si>
    <t>Krishnapur-2, kanchanpur, bani store</t>
  </si>
  <si>
    <t>Prashant thapa magar</t>
  </si>
  <si>
    <t>Jhamsikhel</t>
  </si>
  <si>
    <t>Light brown Nike shoes size 40</t>
  </si>
  <si>
    <t>Sanu Rana magar</t>
  </si>
  <si>
    <t>Pokhara lake side, stage no 8</t>
  </si>
  <si>
    <t>Converse shoes size 39</t>
  </si>
  <si>
    <t>Ajeep xettri</t>
  </si>
  <si>
    <t>Narayanthan, chappali</t>
  </si>
  <si>
    <t>Sr shoes of size 42 costing RS. 1200</t>
  </si>
  <si>
    <t>Samir Senchury</t>
  </si>
  <si>
    <t>Samir mobile centre, khaireni chowk, butwal</t>
  </si>
  <si>
    <t>Sb dunk low pro shoes of size 43 costing RS. 1200</t>
  </si>
  <si>
    <t xml:space="preserve">Dhungedhara 16 , banasthali </t>
  </si>
  <si>
    <t>Full Jordan brown of size 43 costing RS. 1200</t>
  </si>
  <si>
    <t xml:space="preserve">Aman Yaduvanshi </t>
  </si>
  <si>
    <t>Nobel medical college, kanchanbari, biratnagar</t>
  </si>
  <si>
    <t>White Nike shoes of size 43 costing RS 1200</t>
  </si>
  <si>
    <t>Aaditya Mukhiya Bin</t>
  </si>
  <si>
    <t>Mmc college Road, manakamana chowk, hetauda</t>
  </si>
  <si>
    <t>Af 1 shoes costing 1600</t>
  </si>
  <si>
    <t>Binod panta</t>
  </si>
  <si>
    <t>Jajarkot Nalgad Nagarpalika word n.5 kalimati</t>
  </si>
  <si>
    <t>taha khan</t>
  </si>
  <si>
    <t>sohail</t>
  </si>
  <si>
    <t>arjun</t>
  </si>
  <si>
    <t>srawon magar</t>
  </si>
  <si>
    <t>kevin tamang</t>
  </si>
  <si>
    <t>rishav shah</t>
  </si>
  <si>
    <t>bishwas</t>
  </si>
  <si>
    <t>Meta information</t>
  </si>
  <si>
    <t>Meta Platforms Ireland Limited</t>
  </si>
  <si>
    <t>Merrion Road</t>
  </si>
  <si>
    <t>Dublin 4</t>
  </si>
  <si>
    <t>D04 X2K5</t>
  </si>
  <si>
    <t>Ireland</t>
  </si>
  <si>
    <t>VAT Reg. No. IE9692928F</t>
  </si>
  <si>
    <t>Advertiser Information</t>
  </si>
  <si>
    <t>Account: 1593879061082393</t>
  </si>
  <si>
    <t>Business: Smriti and Smaran Store</t>
  </si>
  <si>
    <t>Jorpati</t>
  </si>
  <si>
    <t>Kathmandu, Bagmati province</t>
  </si>
  <si>
    <t>Nepal</t>
  </si>
  <si>
    <t>PAN: 615515739</t>
  </si>
  <si>
    <t>Billing Report: 1/1/2025 - 5/7/2026</t>
  </si>
  <si>
    <t>Meta Ads payment</t>
  </si>
  <si>
    <t>Payment Method: Visa ···· 6712</t>
  </si>
  <si>
    <t>Date</t>
  </si>
  <si>
    <t>Transaction ID</t>
  </si>
  <si>
    <t>Amount</t>
  </si>
  <si>
    <t>Currency</t>
  </si>
  <si>
    <t>9/17/2025</t>
  </si>
  <si>
    <t>24640464102311514-24600762472948345</t>
  </si>
  <si>
    <t>USD</t>
  </si>
  <si>
    <t>8/23/2025</t>
  </si>
  <si>
    <t>24516782441346351-24386224721068792</t>
  </si>
  <si>
    <t>8/20/2025</t>
  </si>
  <si>
    <t>24271722729185662-24377043208653614</t>
  </si>
  <si>
    <t>8/17/2025</t>
  </si>
  <si>
    <t>24332290036462258-24251882624503001</t>
  </si>
  <si>
    <t>7/30/2025</t>
  </si>
  <si>
    <t>24181750424849554-24174436475580952</t>
  </si>
  <si>
    <t>7/25/2025</t>
  </si>
  <si>
    <t>24174952488862680-24129749716716295</t>
  </si>
  <si>
    <t>7/23/2025</t>
  </si>
  <si>
    <t>24245632058461392-24041363838888215</t>
  </si>
  <si>
    <t>23993178743706728-24214338114924123</t>
  </si>
  <si>
    <t>24039077622450170-24021657690858835</t>
  </si>
  <si>
    <t>7/21/2025</t>
  </si>
  <si>
    <t>24232977943060137-24108095875548343</t>
  </si>
  <si>
    <t>24011182065239731-24203878379303430</t>
  </si>
  <si>
    <t>7/18/2025</t>
  </si>
  <si>
    <t>23987008570990414-24179914238366511</t>
  </si>
  <si>
    <t>7/17/2025</t>
  </si>
  <si>
    <t>24071088012582463-23983778674646729</t>
  </si>
  <si>
    <t>7/16/2025</t>
  </si>
  <si>
    <t>23986903121000954-23978770158480914</t>
  </si>
  <si>
    <t>6/5/2025</t>
  </si>
  <si>
    <t>9988759541241887-10066120743505764</t>
  </si>
  <si>
    <t>6/3/2025</t>
  </si>
  <si>
    <t>9889261101191726-9881911498593350</t>
  </si>
  <si>
    <t>6/2/2025</t>
  </si>
  <si>
    <t>9825126007605239-10043539845763854</t>
  </si>
  <si>
    <t>5/31/2025</t>
  </si>
  <si>
    <t>9813905995393907-9933230690128102</t>
  </si>
  <si>
    <t>9864659520318551-9941753262609175</t>
  </si>
  <si>
    <t>10031580026959836-9856892447761922</t>
  </si>
  <si>
    <t>9855228227928344-9811430328974807</t>
  </si>
  <si>
    <t>5/30/2025</t>
  </si>
  <si>
    <t>9803931546391352-9847700602014440</t>
  </si>
  <si>
    <t>5/29/2025</t>
  </si>
  <si>
    <t>9797718813679292-9925881230863045</t>
  </si>
  <si>
    <t>5/28/2025</t>
  </si>
  <si>
    <t>9909841305800374-9790688914382282</t>
  </si>
  <si>
    <t>5/27/2025</t>
  </si>
  <si>
    <t>9834332570017913-9783429325108241</t>
  </si>
  <si>
    <t>5/2/2025</t>
  </si>
  <si>
    <t>9621899837927852-9621899851261184</t>
  </si>
  <si>
    <t>4/29/2025</t>
  </si>
  <si>
    <t>9715044118613424-9681301818654322</t>
  </si>
  <si>
    <t>4/22/2025</t>
  </si>
  <si>
    <t>9718943271556848-9551879971596509</t>
  </si>
  <si>
    <t>4/17/2025</t>
  </si>
  <si>
    <t>9514851818632658-9590652024385969</t>
  </si>
  <si>
    <t>4/15/2025</t>
  </si>
  <si>
    <t>9570653756385799-9454105404707303</t>
  </si>
  <si>
    <t>Total Amount Billed</t>
  </si>
  <si>
    <t>VAT Rate: 13%</t>
  </si>
  <si>
    <t>VAT Amount: 18.97</t>
  </si>
  <si>
    <t>Due</t>
  </si>
  <si>
    <t>Reporting starts</t>
  </si>
  <si>
    <t>Reporting ends</t>
  </si>
  <si>
    <t>Campaign name</t>
  </si>
  <si>
    <t>Campaign delivery</t>
  </si>
  <si>
    <t>Results</t>
  </si>
  <si>
    <t>Result indicator</t>
  </si>
  <si>
    <t>Cost per results</t>
  </si>
  <si>
    <t>Ad set budget</t>
  </si>
  <si>
    <t>Ad set budget type</t>
  </si>
  <si>
    <t>Amount spent (USD)</t>
  </si>
  <si>
    <t>Impressions</t>
  </si>
  <si>
    <t>Reach</t>
  </si>
  <si>
    <t>Ends</t>
  </si>
  <si>
    <t>Attribution setting</t>
  </si>
  <si>
    <t>07/24 first ad air Nike</t>
  </si>
  <si>
    <t>inactive</t>
  </si>
  <si>
    <t>actions:onsite_conversion.messaging_conversation_started_7d</t>
  </si>
  <si>
    <t>Daily</t>
  </si>
  <si>
    <t>7-day click or 1-day view</t>
  </si>
  <si>
    <t>Post: "Flat 50% OFF on Premium Shoes at just RS 1999 with"</t>
  </si>
  <si>
    <t>Lifetime</t>
  </si>
  <si>
    <t>Tailored messages campaign 04/14/2025 Campaign</t>
  </si>
  <si>
    <t>Using ad set budget</t>
  </si>
  <si>
    <t>test ad Campaign</t>
  </si>
  <si>
    <t>Shoes at just RS. 1200  Campaign</t>
  </si>
  <si>
    <t>rejected</t>
  </si>
  <si>
    <t>Ongoing</t>
  </si>
  <si>
    <t>Shoes at just RS. 1200  Campaign - Copy</t>
  </si>
  <si>
    <t>advance version of shoes at RS 1200 Campaign</t>
  </si>
  <si>
    <t>new concept with new style</t>
  </si>
  <si>
    <t xml:space="preserve"> </t>
  </si>
  <si>
    <t/>
  </si>
  <si>
    <t>Column 1</t>
  </si>
  <si>
    <t>province</t>
  </si>
  <si>
    <t>tier1</t>
  </si>
  <si>
    <t>tier2</t>
  </si>
  <si>
    <t>tier3</t>
  </si>
  <si>
    <t>total</t>
  </si>
  <si>
    <t>Delivered no. of order</t>
  </si>
  <si>
    <t>revenue</t>
  </si>
  <si>
    <t>profit</t>
  </si>
  <si>
    <t>Returned no. of order</t>
  </si>
  <si>
    <t>return rate</t>
  </si>
  <si>
    <t>total fee</t>
  </si>
  <si>
    <t>total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</si>
</sst>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Calibri"/>
    </font>
    <font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0" xfId="0" applyAlignment="1" applyFont="1" applyNumberFormat="1">
      <alignment shrinkToFit="0" vertical="center" wrapText="1"/>
    </xf>
    <xf borderId="0" fillId="0" fontId="1" numFmtId="3" xfId="0" applyAlignment="1" applyFont="1" applyNumberFormat="1">
      <alignment shrinkToFit="0" vertical="center" wrapText="1"/>
    </xf>
    <xf borderId="0" fillId="0" fontId="1" numFmtId="3" xfId="0" applyAlignment="1" applyFont="1" applyNumberFormat="1">
      <alignment readingOrder="0" shrinkToFit="0" vertical="center" wrapText="1"/>
    </xf>
    <xf borderId="0" fillId="0" fontId="1" numFmtId="4" xfId="0" applyAlignment="1" applyFont="1" applyNumberFormat="1">
      <alignment shrinkToFit="0" vertical="center" wrapText="1"/>
    </xf>
    <xf borderId="0" fillId="0" fontId="1" numFmtId="0" xfId="0" applyFont="1"/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D4D7EF"/>
          <bgColor rgb="FFD4D7EF"/>
        </patternFill>
      </fill>
      <border/>
    </dxf>
  </dxfs>
  <tableStyles count="12">
    <tableStyle count="4" pivot="0" name="refere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lance sheet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5" pivot="0" name="delievered-style">
      <tableStyleElement dxfId="5" type="headerRow"/>
      <tableStyleElement dxfId="2" type="firstRowStripe"/>
      <tableStyleElement dxfId="3" type="secondRowStripe"/>
      <tableStyleElement dxfId="7" type="totalRow"/>
      <tableStyleElement dxfId="4" size="0" type="wholeTable"/>
    </tableStyle>
    <tableStyle count="4" pivot="0" name="provincewis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return ord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urn order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5" pivot="0" name="return order-style 3">
      <tableStyleElement dxfId="5" type="headerRow"/>
      <tableStyleElement dxfId="2" type="firstRowStripe"/>
      <tableStyleElement dxfId="3" type="secondRowStripe"/>
      <tableStyleElement dxfId="7" type="totalRow"/>
      <tableStyleElement dxfId="4" size="0" type="wholeTable"/>
    </tableStyle>
    <tableStyle count="4" pivot="0" name="provincewise1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checklist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form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2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mighty one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Tier Distribution across Provinces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provincewise!$B$3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provincewise!$A$4:$A$10</c:f>
            </c:strRef>
          </c:cat>
          <c:val>
            <c:numRef>
              <c:f>provincewise!$B$4:$B$10</c:f>
              <c:numCache/>
            </c:numRef>
          </c:val>
        </c:ser>
        <c:ser>
          <c:idx val="1"/>
          <c:order val="1"/>
          <c:tx>
            <c:strRef>
              <c:f>provincewise!$C$3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provincewise!$A$4:$A$10</c:f>
            </c:strRef>
          </c:cat>
          <c:val>
            <c:numRef>
              <c:f>provincewise!$C$4:$C$10</c:f>
              <c:numCache/>
            </c:numRef>
          </c:val>
        </c:ser>
        <c:ser>
          <c:idx val="2"/>
          <c:order val="2"/>
          <c:tx>
            <c:strRef>
              <c:f>provincewise!$D$3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provincewise!$A$4:$A$10</c:f>
            </c:strRef>
          </c:cat>
          <c:val>
            <c:numRef>
              <c:f>provincewise!$D$4:$D$10</c:f>
              <c:numCache/>
            </c:numRef>
          </c:val>
        </c:ser>
        <c:overlap val="100"/>
        <c:axId val="832256743"/>
        <c:axId val="797997501"/>
      </c:barChart>
      <c:catAx>
        <c:axId val="8322567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Province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7997501"/>
      </c:catAx>
      <c:valAx>
        <c:axId val="7979975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225674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Distribution of Tiers across Provinces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provincewise1!$B$3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provincewise1!$A$4:$A$10</c:f>
            </c:strRef>
          </c:cat>
          <c:val>
            <c:numRef>
              <c:f>provincewise1!$B$4:$B$10</c:f>
              <c:numCache/>
            </c:numRef>
          </c:val>
        </c:ser>
        <c:ser>
          <c:idx val="1"/>
          <c:order val="1"/>
          <c:tx>
            <c:strRef>
              <c:f>provincewise1!$C$3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provincewise1!$A$4:$A$10</c:f>
            </c:strRef>
          </c:cat>
          <c:val>
            <c:numRef>
              <c:f>provincewise1!$C$4:$C$10</c:f>
              <c:numCache/>
            </c:numRef>
          </c:val>
        </c:ser>
        <c:ser>
          <c:idx val="2"/>
          <c:order val="2"/>
          <c:tx>
            <c:strRef>
              <c:f>provincewise1!$D$3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provincewise1!$A$4:$A$10</c:f>
            </c:strRef>
          </c:cat>
          <c:val>
            <c:numRef>
              <c:f>provincewise1!$D$4:$D$10</c:f>
              <c:numCache/>
            </c:numRef>
          </c:val>
        </c:ser>
        <c:overlap val="100"/>
        <c:axId val="815773753"/>
        <c:axId val="1235633188"/>
      </c:barChart>
      <c:catAx>
        <c:axId val="8157737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Province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5633188"/>
      </c:catAx>
      <c:valAx>
        <c:axId val="12356331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577375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88" displayName="Order_Processing_Log" name="Order_Processing_Log" id="1">
  <autoFilter ref="$A$1:$J$188"/>
  <tableColumns count="10">
    <tableColumn name="Order created at" id="1"/>
    <tableColumn name="Order description" id="2"/>
    <tableColumn name="Recipient name" id="3"/>
    <tableColumn name="Recipient address" id="4"/>
    <tableColumn name="Recipient phone" id="5"/>
    <tableColumn name="proft" id="6"/>
    <tableColumn name="Collected amount" id="7"/>
    <tableColumn name="Total fee" id="8"/>
    <tableColumn name="Order status" id="9"/>
    <tableColumn name="Order status 2" id="10"/>
  </tableColumns>
  <tableStyleInfo name="reference-style" showColumnStripes="0" showFirstColumn="1" showLastColumn="1" showRowStripes="1"/>
</table>
</file>

<file path=xl/tables/table2.xml><?xml version="1.0" encoding="utf-8"?>
<table xmlns="http://schemas.openxmlformats.org/spreadsheetml/2006/main" ref="B2:S15" displayName="Table5" name="Table5" id="2">
  <tableColumns count="18">
    <tableColumn name="Month" id="1"/>
    <tableColumn name="Cost price" id="2"/>
    <tableColumn name="profit margin" id="3"/>
    <tableColumn name="ad cost" id="4"/>
    <tableColumn name="net profit" id="5"/>
    <tableColumn name="Revenue" id="6"/>
    <tableColumn name=" Gross Profit" id="7"/>
    <tableColumn name="D fee" id="8"/>
    <tableColumn name="R fee" id="9"/>
    <tableColumn name="Total fee" id="10"/>
    <tableColumn name="Delivered Orders" id="11"/>
    <tableColumn name="Returned Orders" id="12"/>
    <tableColumn name="Total Orders" id="13"/>
    <tableColumn name="Delivery Rate" id="14"/>
    <tableColumn name="Return Rate" id="15"/>
    <tableColumn name="Active Days" id="16"/>
    <tableColumn name="Inactive Days" id="17"/>
    <tableColumn name="Most Order Created Date" id="18"/>
  </tableColumns>
  <tableStyleInfo name="balance sheet-style" showColumnStripes="0" showFirstColumn="1" showLastColumn="1" showRowStripes="1"/>
</table>
</file>

<file path=xl/tables/table3.xml><?xml version="1.0" encoding="utf-8"?>
<table xmlns="http://schemas.openxmlformats.org/spreadsheetml/2006/main" totalsRowCount="1" ref="N4:R12" displayName="Table2" name="Table2" id="3">
  <tableColumns count="5">
    <tableColumn name="Province" id="1"/>
    <tableColumn totalsRowFunction="custom" name="Tier 1" id="2"/>
    <tableColumn totalsRowFunction="custom" name="Tier 2" id="3"/>
    <tableColumn totalsRowFunction="custom" name="Tier 3" id="4"/>
    <tableColumn totalsRowLabel="123" name="Total" id="5"/>
  </tableColumns>
  <tableStyleInfo name="delievered-style" showColumnStripes="0" showFirstColumn="1" showLastColumn="1" showRowStripes="1"/>
</table>
</file>

<file path=xl/tables/table4.xml><?xml version="1.0" encoding="utf-8"?>
<table xmlns="http://schemas.openxmlformats.org/spreadsheetml/2006/main" ref="A3:D10" displayName="Tier_Distribution_across_Provinces" name="Tier_Distribution_across_Provinces" id="4">
  <tableColumns count="4">
    <tableColumn name="Province" id="1"/>
    <tableColumn name="Tier 1" id="2"/>
    <tableColumn name="Tier 2" id="3"/>
    <tableColumn name="Tier 3" id="4"/>
  </tableColumns>
  <tableStyleInfo name="provincewise-style" showColumnStripes="0" showFirstColumn="1" showLastColumn="1" showRowStripes="1"/>
</table>
</file>

<file path=xl/tables/table5.xml><?xml version="1.0" encoding="utf-8"?>
<table xmlns="http://schemas.openxmlformats.org/spreadsheetml/2006/main" ref="A1:K29" displayName="return_order" name="return_order" id="5">
  <tableColumns count="11">
    <tableColumn name="Order created at" id="1"/>
    <tableColumn name="Order description" id="2"/>
    <tableColumn name="Recipient name" id="3"/>
    <tableColumn name="Recipient address" id="4"/>
    <tableColumn name="Recipient phone" id="5"/>
    <tableColumn name="Collectable Amount" id="6"/>
    <tableColumn name="Total fee" id="7"/>
    <tableColumn name="Cash on delivery" id="8"/>
    <tableColumn name="Order status" id="9"/>
    <tableColumn name="Tierwise" id="10"/>
    <tableColumn name="Order status updated at" id="11"/>
  </tableColumns>
  <tableStyleInfo name="return order-style" showColumnStripes="0" showFirstColumn="1" showLastColumn="1" showRowStripes="1"/>
</table>
</file>

<file path=xl/tables/table6.xml><?xml version="1.0" encoding="utf-8"?>
<table xmlns="http://schemas.openxmlformats.org/spreadsheetml/2006/main" ref="L1:L29" displayName="Table1" name="Table1" id="6">
  <tableColumns count="1">
    <tableColumn name="Province" id="1"/>
  </tableColumns>
  <tableStyleInfo name="return order-style 2" showColumnStripes="0" showFirstColumn="1" showLastColumn="1" showRowStripes="1"/>
</table>
</file>

<file path=xl/tables/table7.xml><?xml version="1.0" encoding="utf-8"?>
<table xmlns="http://schemas.openxmlformats.org/spreadsheetml/2006/main" totalsRowCount="1" ref="G32:K40" displayName="Table3" name="Table3" id="7">
  <tableColumns count="5">
    <tableColumn name="Province" id="1"/>
    <tableColumn totalsRowFunction="custom" name="Tier 1" id="2"/>
    <tableColumn totalsRowFunction="custom" name="Tier 2" id="3"/>
    <tableColumn totalsRowFunction="custom" name="Tier 3" id="4"/>
    <tableColumn totalsRowFunction="custom" name="Total" id="5"/>
  </tableColumns>
  <tableStyleInfo name="return order-style 3" showColumnStripes="0" showFirstColumn="1" showLastColumn="1" showRowStripes="1"/>
</table>
</file>

<file path=xl/tables/table8.xml><?xml version="1.0" encoding="utf-8"?>
<table xmlns="http://schemas.openxmlformats.org/spreadsheetml/2006/main" ref="A3:D10" displayName="Distribution_of_Tiers_across_Provinces" name="Distribution_of_Tiers_across_Provinces" id="8">
  <tableColumns count="4">
    <tableColumn name="Province" id="1"/>
    <tableColumn name="Tier 1" id="2"/>
    <tableColumn name="Tier 2" id="3"/>
    <tableColumn name="Tier 3" id="4"/>
  </tableColumns>
  <tableStyleInfo name="provincewise1-style" showColumnStripes="0" showFirstColumn="1" showLastColumn="1" showRowStripes="1"/>
</table>
</file>

<file path=xl/tables/table9.xml><?xml version="1.0" encoding="utf-8"?>
<table xmlns="http://schemas.openxmlformats.org/spreadsheetml/2006/main" ref="A12:D48" displayName="Table1_2" name="Table1_2" id="9">
  <tableColumns count="4">
    <tableColumn name="Date" id="1"/>
    <tableColumn name="Transaction ID" id="2"/>
    <tableColumn name="Amount" id="3"/>
    <tableColumn name="Currency" id="4"/>
  </tableColumns>
  <tableStyleInfo name="checklist2-style" showColumnStripes="0" showFirstColumn="1" showLastColumn="1" showRowStripes="1"/>
</table>
</file>

<file path=xl/tables/table10.xml><?xml version="1.0" encoding="utf-8"?>
<table xmlns="http://schemas.openxmlformats.org/spreadsheetml/2006/main" ref="A1:N9" displayName="performanceF" name="performanceF" id="10">
  <tableColumns count="14">
    <tableColumn name="Reporting starts" id="1"/>
    <tableColumn name="Reporting ends" id="2"/>
    <tableColumn name="Campaign name" id="3"/>
    <tableColumn name="Campaign delivery" id="4"/>
    <tableColumn name="Results" id="5"/>
    <tableColumn name="Result indicator" id="6"/>
    <tableColumn name="Cost per results" id="7"/>
    <tableColumn name="Ad set budget" id="8"/>
    <tableColumn name="Ad set budget type" id="9"/>
    <tableColumn name="Amount spent (USD)" id="10"/>
    <tableColumn name="Impressions" id="11"/>
    <tableColumn name="Reach" id="12"/>
    <tableColumn name="Ends" id="13"/>
    <tableColumn name="Attribution setting" id="14"/>
  </tableColumns>
  <tableStyleInfo name="performance-style" showColumnStripes="0" showFirstColumn="1" showLastColumn="1" showRowStripes="1"/>
</table>
</file>

<file path=xl/tables/table11.xml><?xml version="1.0" encoding="utf-8"?>
<table xmlns="http://schemas.openxmlformats.org/spreadsheetml/2006/main" ref="B7:E14" displayName="Table4" name="Table4" id="11">
  <tableColumns count="4">
    <tableColumn name="Province" id="1"/>
    <tableColumn name="Tier 1" id="2"/>
    <tableColumn name="Tier 2" id="3"/>
    <tableColumn name="Tier 3" id="4"/>
  </tableColumns>
  <tableStyleInfo name="Sheet12-style" showColumnStripes="0" showFirstColumn="1" showLastColumn="1" showRowStripes="1"/>
</table>
</file>

<file path=xl/tables/table12.xml><?xml version="1.0" encoding="utf-8"?>
<table xmlns="http://schemas.openxmlformats.org/spreadsheetml/2006/main" ref="B3:G86" displayName="Table6" name="Table6" id="12">
  <tableColumns count="6">
    <tableColumn name="Column 1" id="1"/>
    <tableColumn name="province" id="2"/>
    <tableColumn name="tier1" id="3"/>
    <tableColumn name="tier2" id="4"/>
    <tableColumn name="tier3" id="5"/>
    <tableColumn name="total" id="6"/>
  </tableColumns>
  <tableStyleInfo name="mighty o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0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54.13"/>
    <col customWidth="1" min="3" max="4" width="37.63"/>
    <col customWidth="1" min="5" max="5" width="20.63"/>
    <col customWidth="1" min="7" max="7" width="21.88"/>
    <col customWidth="1" min="8" max="8" width="15.25"/>
    <col customWidth="1" min="9" max="9" width="22.25"/>
    <col customWidth="1" min="10" max="10" width="17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45916.191412037035</v>
      </c>
      <c r="B2" s="3" t="s">
        <v>10</v>
      </c>
      <c r="C2" s="3" t="s">
        <v>11</v>
      </c>
      <c r="D2" s="3" t="s">
        <v>12</v>
      </c>
      <c r="E2" s="4">
        <v>9.84940118E9</v>
      </c>
      <c r="F2" s="3">
        <v>350.0</v>
      </c>
      <c r="G2" s="4">
        <v>1350.0</v>
      </c>
      <c r="H2" s="4">
        <v>162.38</v>
      </c>
      <c r="I2" s="5" t="s">
        <v>13</v>
      </c>
      <c r="J2" s="2">
        <v>45918.315092592595</v>
      </c>
    </row>
    <row r="3" ht="22.5" customHeight="1">
      <c r="A3" s="2">
        <v>45916.18975694444</v>
      </c>
      <c r="B3" s="3" t="s">
        <v>14</v>
      </c>
      <c r="C3" s="3" t="s">
        <v>15</v>
      </c>
      <c r="D3" s="3" t="s">
        <v>16</v>
      </c>
      <c r="E3" s="4">
        <v>9.749215487E9</v>
      </c>
      <c r="F3" s="3">
        <v>450.0</v>
      </c>
      <c r="G3" s="4">
        <v>2550.0</v>
      </c>
      <c r="H3" s="4">
        <v>215.38</v>
      </c>
      <c r="I3" s="5" t="s">
        <v>13</v>
      </c>
      <c r="J3" s="2">
        <v>45919.616793981484</v>
      </c>
    </row>
    <row r="4" ht="22.5" customHeight="1">
      <c r="A4" s="2">
        <v>45895.495416666665</v>
      </c>
      <c r="B4" s="3" t="s">
        <v>17</v>
      </c>
      <c r="C4" s="3" t="s">
        <v>18</v>
      </c>
      <c r="D4" s="3" t="s">
        <v>19</v>
      </c>
      <c r="E4" s="4">
        <v>9.847465097E9</v>
      </c>
      <c r="F4" s="3">
        <v>0.0</v>
      </c>
      <c r="G4" s="4">
        <v>0.0</v>
      </c>
      <c r="H4" s="4">
        <v>144.5</v>
      </c>
      <c r="I4" s="5" t="s">
        <v>20</v>
      </c>
      <c r="J4" s="2">
        <v>45898.2115625</v>
      </c>
    </row>
    <row r="5" ht="22.5" customHeight="1">
      <c r="A5" s="2">
        <v>45895.339837962965</v>
      </c>
      <c r="B5" s="3" t="s">
        <v>21</v>
      </c>
      <c r="C5" s="3" t="s">
        <v>18</v>
      </c>
      <c r="D5" s="3" t="s">
        <v>19</v>
      </c>
      <c r="E5" s="4">
        <v>9.847465097E9</v>
      </c>
      <c r="F5" s="3">
        <v>0.0</v>
      </c>
      <c r="G5" s="4">
        <v>0.0</v>
      </c>
      <c r="H5" s="4">
        <v>144.5</v>
      </c>
      <c r="I5" s="5" t="s">
        <v>20</v>
      </c>
      <c r="J5" s="2">
        <v>45898.2115625</v>
      </c>
    </row>
    <row r="6" ht="22.5" customHeight="1">
      <c r="A6" s="2">
        <v>45894.1965162037</v>
      </c>
      <c r="B6" s="3" t="s">
        <v>22</v>
      </c>
      <c r="C6" s="3" t="s">
        <v>23</v>
      </c>
      <c r="D6" s="3" t="s">
        <v>24</v>
      </c>
      <c r="E6" s="4">
        <v>9.768966994E9</v>
      </c>
      <c r="F6" s="3">
        <v>300.0</v>
      </c>
      <c r="G6" s="4">
        <v>1100.0</v>
      </c>
      <c r="H6" s="4">
        <v>101.75</v>
      </c>
      <c r="I6" s="5" t="s">
        <v>13</v>
      </c>
      <c r="J6" s="2">
        <v>45894.44189814815</v>
      </c>
    </row>
    <row r="7" ht="22.5" customHeight="1">
      <c r="A7" s="2">
        <v>45893.18133101852</v>
      </c>
      <c r="B7" s="3" t="s">
        <v>25</v>
      </c>
      <c r="C7" s="3" t="s">
        <v>26</v>
      </c>
      <c r="D7" s="3" t="s">
        <v>27</v>
      </c>
      <c r="E7" s="4">
        <v>9.815193182E9</v>
      </c>
      <c r="F7" s="3">
        <v>650.0</v>
      </c>
      <c r="G7" s="4">
        <v>1650.0</v>
      </c>
      <c r="H7" s="4">
        <v>183.13</v>
      </c>
      <c r="I7" s="5" t="s">
        <v>13</v>
      </c>
      <c r="J7" s="2">
        <v>45894.3146412037</v>
      </c>
    </row>
    <row r="8" ht="22.5" customHeight="1">
      <c r="A8" s="2">
        <v>45893.17900462963</v>
      </c>
      <c r="B8" s="3" t="s">
        <v>28</v>
      </c>
      <c r="C8" s="3" t="s">
        <v>29</v>
      </c>
      <c r="D8" s="3" t="s">
        <v>30</v>
      </c>
      <c r="E8" s="4">
        <v>9.815936372E9</v>
      </c>
      <c r="F8" s="3">
        <v>350.0</v>
      </c>
      <c r="G8" s="4">
        <v>1350.0</v>
      </c>
      <c r="H8" s="4">
        <v>182.38</v>
      </c>
      <c r="I8" s="5" t="s">
        <v>13</v>
      </c>
      <c r="J8" s="2">
        <v>45895.445925925924</v>
      </c>
    </row>
    <row r="9" ht="22.5" customHeight="1">
      <c r="A9" s="2">
        <v>45893.178032407406</v>
      </c>
      <c r="B9" s="3" t="s">
        <v>31</v>
      </c>
      <c r="C9" s="3" t="s">
        <v>32</v>
      </c>
      <c r="D9" s="3" t="s">
        <v>33</v>
      </c>
      <c r="E9" s="4">
        <v>9.769723304E9</v>
      </c>
      <c r="F9" s="3">
        <v>1300.0</v>
      </c>
      <c r="G9" s="4">
        <v>4650.0</v>
      </c>
      <c r="H9" s="4">
        <v>220.63</v>
      </c>
      <c r="I9" s="5" t="s">
        <v>13</v>
      </c>
      <c r="J9" s="2">
        <v>45898.376655092594</v>
      </c>
    </row>
    <row r="10" ht="22.5" customHeight="1">
      <c r="A10" s="2">
        <v>45892.28570601852</v>
      </c>
      <c r="B10" s="3" t="s">
        <v>34</v>
      </c>
      <c r="C10" s="3" t="s">
        <v>35</v>
      </c>
      <c r="D10" s="3" t="s">
        <v>36</v>
      </c>
      <c r="E10" s="4">
        <v>9.826881955E9</v>
      </c>
      <c r="F10" s="3">
        <v>800.0</v>
      </c>
      <c r="G10" s="4">
        <v>2600.0</v>
      </c>
      <c r="H10" s="4">
        <v>105.5</v>
      </c>
      <c r="I10" s="5" t="s">
        <v>13</v>
      </c>
      <c r="J10" s="2">
        <v>45893.25303240741</v>
      </c>
    </row>
    <row r="11" ht="22.5" customHeight="1">
      <c r="A11" s="2">
        <v>45892.23305555555</v>
      </c>
      <c r="B11" s="3" t="s">
        <v>21</v>
      </c>
      <c r="C11" s="3" t="s">
        <v>37</v>
      </c>
      <c r="D11" s="3" t="s">
        <v>38</v>
      </c>
      <c r="E11" s="4">
        <v>9.708251241E9</v>
      </c>
      <c r="F11" s="3">
        <v>0.0</v>
      </c>
      <c r="G11" s="4">
        <v>0.0</v>
      </c>
      <c r="H11" s="4">
        <v>0.0</v>
      </c>
      <c r="I11" s="5" t="s">
        <v>39</v>
      </c>
      <c r="J11" s="2">
        <v>45895.33392361111</v>
      </c>
    </row>
    <row r="12" ht="22.5" customHeight="1">
      <c r="A12" s="2">
        <v>45892.23143518518</v>
      </c>
      <c r="B12" s="3" t="s">
        <v>17</v>
      </c>
      <c r="C12" s="3" t="s">
        <v>40</v>
      </c>
      <c r="D12" s="3" t="s">
        <v>41</v>
      </c>
      <c r="E12" s="4">
        <v>9.805639259E9</v>
      </c>
      <c r="F12" s="3">
        <v>0.0</v>
      </c>
      <c r="G12" s="4">
        <v>0.0</v>
      </c>
      <c r="H12" s="4">
        <v>0.0</v>
      </c>
      <c r="I12" s="5" t="s">
        <v>39</v>
      </c>
      <c r="J12" s="2">
        <v>45895.24694444444</v>
      </c>
    </row>
    <row r="13" ht="22.5" customHeight="1">
      <c r="A13" s="2">
        <v>45892.228217592594</v>
      </c>
      <c r="B13" s="3" t="s">
        <v>42</v>
      </c>
      <c r="C13" s="3" t="s">
        <v>43</v>
      </c>
      <c r="D13" s="3" t="s">
        <v>44</v>
      </c>
      <c r="E13" s="4">
        <v>9.865629618E9</v>
      </c>
      <c r="F13" s="3">
        <v>450.0</v>
      </c>
      <c r="G13" s="4">
        <v>1350.0</v>
      </c>
      <c r="H13" s="4">
        <v>182.38</v>
      </c>
      <c r="I13" s="5" t="s">
        <v>13</v>
      </c>
      <c r="J13" s="2">
        <v>45895.355046296296</v>
      </c>
    </row>
    <row r="14" ht="22.5" customHeight="1">
      <c r="A14" s="2">
        <v>45892.22659722222</v>
      </c>
      <c r="B14" s="3" t="s">
        <v>45</v>
      </c>
      <c r="C14" s="3" t="s">
        <v>46</v>
      </c>
      <c r="D14" s="3" t="s">
        <v>47</v>
      </c>
      <c r="E14" s="4">
        <v>9.749215487E9</v>
      </c>
      <c r="F14" s="3">
        <v>550.0</v>
      </c>
      <c r="G14" s="4">
        <v>1550.0</v>
      </c>
      <c r="H14" s="4">
        <v>212.88</v>
      </c>
      <c r="I14" s="5" t="s">
        <v>13</v>
      </c>
      <c r="J14" s="2">
        <v>45898.67103009259</v>
      </c>
    </row>
    <row r="15" ht="22.5" customHeight="1">
      <c r="A15" s="2">
        <v>45891.18746527778</v>
      </c>
      <c r="B15" s="3" t="s">
        <v>48</v>
      </c>
      <c r="C15" s="3" t="s">
        <v>49</v>
      </c>
      <c r="D15" s="3" t="s">
        <v>50</v>
      </c>
      <c r="E15" s="4">
        <v>9.702839214E9</v>
      </c>
      <c r="F15" s="3">
        <v>350.0</v>
      </c>
      <c r="G15" s="4">
        <v>1350.0</v>
      </c>
      <c r="H15" s="4">
        <v>182.38</v>
      </c>
      <c r="I15" s="5" t="s">
        <v>13</v>
      </c>
      <c r="J15" s="2">
        <v>45894.39797453704</v>
      </c>
    </row>
    <row r="16" ht="22.5" customHeight="1">
      <c r="A16" s="2">
        <v>45891.18523148148</v>
      </c>
      <c r="B16" s="3" t="s">
        <v>21</v>
      </c>
      <c r="C16" s="3" t="s">
        <v>51</v>
      </c>
      <c r="D16" s="3" t="s">
        <v>52</v>
      </c>
      <c r="E16" s="4">
        <v>9.700427269E9</v>
      </c>
      <c r="F16" s="3">
        <v>450.0</v>
      </c>
      <c r="G16" s="4">
        <v>1350.0</v>
      </c>
      <c r="H16" s="4">
        <v>182.38</v>
      </c>
      <c r="I16" s="5" t="s">
        <v>13</v>
      </c>
      <c r="J16" s="2">
        <v>45893.44996527778</v>
      </c>
    </row>
    <row r="17" ht="22.5" customHeight="1">
      <c r="A17" s="2">
        <v>45890.17833333334</v>
      </c>
      <c r="B17" s="3" t="s">
        <v>53</v>
      </c>
      <c r="C17" s="3" t="s">
        <v>54</v>
      </c>
      <c r="D17" s="3" t="s">
        <v>55</v>
      </c>
      <c r="E17" s="4">
        <v>9.703252518E9</v>
      </c>
      <c r="F17" s="3">
        <v>450.0</v>
      </c>
      <c r="G17" s="4">
        <v>1450.0</v>
      </c>
      <c r="H17" s="4">
        <v>162.63</v>
      </c>
      <c r="I17" s="5" t="s">
        <v>13</v>
      </c>
      <c r="J17" s="2">
        <v>45893.31458333333</v>
      </c>
    </row>
    <row r="18" ht="22.5" customHeight="1">
      <c r="A18" s="2">
        <v>45890.17673611111</v>
      </c>
      <c r="B18" s="3" t="s">
        <v>56</v>
      </c>
      <c r="C18" s="3" t="s">
        <v>57</v>
      </c>
      <c r="D18" s="3" t="s">
        <v>58</v>
      </c>
      <c r="E18" s="4">
        <v>9.803874775E9</v>
      </c>
      <c r="F18" s="3">
        <v>500.0</v>
      </c>
      <c r="G18" s="4">
        <v>1500.0</v>
      </c>
      <c r="H18" s="4">
        <v>102.75</v>
      </c>
      <c r="I18" s="5" t="s">
        <v>13</v>
      </c>
      <c r="J18" s="2">
        <v>45890.50582175926</v>
      </c>
    </row>
    <row r="19" ht="22.5" customHeight="1">
      <c r="A19" s="2">
        <v>45890.17537037037</v>
      </c>
      <c r="B19" s="3" t="s">
        <v>59</v>
      </c>
      <c r="C19" s="3" t="s">
        <v>60</v>
      </c>
      <c r="D19" s="3" t="s">
        <v>61</v>
      </c>
      <c r="E19" s="4">
        <v>9.765840359E9</v>
      </c>
      <c r="F19" s="3">
        <v>650.0</v>
      </c>
      <c r="G19" s="4">
        <v>1650.0</v>
      </c>
      <c r="H19" s="4">
        <v>213.13</v>
      </c>
      <c r="I19" s="5" t="s">
        <v>13</v>
      </c>
      <c r="J19" s="2">
        <v>45895.638506944444</v>
      </c>
    </row>
    <row r="20" ht="22.5" customHeight="1">
      <c r="A20" s="2">
        <v>45889.17605324074</v>
      </c>
      <c r="B20" s="3" t="s">
        <v>62</v>
      </c>
      <c r="C20" s="3" t="s">
        <v>63</v>
      </c>
      <c r="D20" s="3" t="s">
        <v>64</v>
      </c>
      <c r="E20" s="4">
        <v>9.807289391E9</v>
      </c>
      <c r="F20" s="3">
        <v>450.0</v>
      </c>
      <c r="G20" s="4">
        <v>1450.0</v>
      </c>
      <c r="H20" s="4">
        <v>162.63</v>
      </c>
      <c r="I20" s="5" t="s">
        <v>13</v>
      </c>
      <c r="J20" s="2">
        <v>45891.61177083333</v>
      </c>
    </row>
    <row r="21" ht="22.5" customHeight="1">
      <c r="A21" s="2">
        <v>45889.17490740741</v>
      </c>
      <c r="B21" s="3" t="s">
        <v>65</v>
      </c>
      <c r="C21" s="3" t="s">
        <v>66</v>
      </c>
      <c r="D21" s="3" t="s">
        <v>67</v>
      </c>
      <c r="E21" s="4">
        <v>9.767381711E9</v>
      </c>
      <c r="F21" s="3">
        <v>550.0</v>
      </c>
      <c r="G21" s="4">
        <v>1550.0</v>
      </c>
      <c r="H21" s="4">
        <v>212.88</v>
      </c>
      <c r="I21" s="5" t="s">
        <v>13</v>
      </c>
      <c r="J21" s="2">
        <v>45895.23165509259</v>
      </c>
    </row>
    <row r="22" ht="22.5" customHeight="1">
      <c r="A22" s="2">
        <v>45889.17271990741</v>
      </c>
      <c r="B22" s="3" t="s">
        <v>68</v>
      </c>
      <c r="C22" s="3" t="s">
        <v>69</v>
      </c>
      <c r="D22" s="3" t="s">
        <v>70</v>
      </c>
      <c r="E22" s="4">
        <v>9.860944595E9</v>
      </c>
      <c r="F22" s="3">
        <v>500.0</v>
      </c>
      <c r="G22" s="4">
        <v>1300.0</v>
      </c>
      <c r="H22" s="4">
        <v>182.25</v>
      </c>
      <c r="I22" s="5" t="s">
        <v>13</v>
      </c>
      <c r="J22" s="2">
        <v>45890.36565972222</v>
      </c>
    </row>
    <row r="23" ht="22.5" customHeight="1">
      <c r="A23" s="2">
        <v>45888.17891203704</v>
      </c>
      <c r="B23" s="3" t="s">
        <v>71</v>
      </c>
      <c r="C23" s="3" t="s">
        <v>72</v>
      </c>
      <c r="D23" s="3" t="s">
        <v>73</v>
      </c>
      <c r="E23" s="4">
        <v>9.762095448E9</v>
      </c>
      <c r="F23" s="3">
        <v>550.0</v>
      </c>
      <c r="G23" s="4">
        <v>2550.0</v>
      </c>
      <c r="H23" s="4">
        <v>185.38</v>
      </c>
      <c r="I23" s="5" t="s">
        <v>13</v>
      </c>
      <c r="J23" s="2">
        <v>45893.49537037037</v>
      </c>
    </row>
    <row r="24" ht="22.5" customHeight="1">
      <c r="A24" s="2">
        <v>45888.17722222222</v>
      </c>
      <c r="B24" s="3" t="s">
        <v>74</v>
      </c>
      <c r="C24" s="3" t="s">
        <v>75</v>
      </c>
      <c r="D24" s="3" t="s">
        <v>76</v>
      </c>
      <c r="E24" s="4">
        <v>9.745506225E9</v>
      </c>
      <c r="F24" s="3">
        <v>600.0</v>
      </c>
      <c r="G24" s="4">
        <v>1600.0</v>
      </c>
      <c r="H24" s="4">
        <v>213.0</v>
      </c>
      <c r="I24" s="5" t="s">
        <v>13</v>
      </c>
      <c r="J24" s="2">
        <v>45889.45898148148</v>
      </c>
    </row>
    <row r="25" ht="22.5" customHeight="1">
      <c r="A25" s="2">
        <v>45888.17445601852</v>
      </c>
      <c r="B25" s="3" t="s">
        <v>77</v>
      </c>
      <c r="C25" s="3" t="s">
        <v>78</v>
      </c>
      <c r="D25" s="3" t="s">
        <v>79</v>
      </c>
      <c r="E25" s="4">
        <v>9.765007077E9</v>
      </c>
      <c r="F25" s="3">
        <v>400.0</v>
      </c>
      <c r="G25" s="4">
        <v>1300.0</v>
      </c>
      <c r="H25" s="4">
        <v>102.25</v>
      </c>
      <c r="I25" s="5" t="s">
        <v>13</v>
      </c>
      <c r="J25" s="2">
        <v>45889.21057870371</v>
      </c>
    </row>
    <row r="26" ht="22.5" customHeight="1">
      <c r="A26" s="2">
        <v>45887.166817129626</v>
      </c>
      <c r="B26" s="3" t="s">
        <v>80</v>
      </c>
      <c r="C26" s="3" t="s">
        <v>81</v>
      </c>
      <c r="D26" s="3" t="s">
        <v>82</v>
      </c>
      <c r="E26" s="4">
        <v>9.768483761E9</v>
      </c>
      <c r="F26" s="3">
        <v>650.0</v>
      </c>
      <c r="G26" s="4">
        <v>1650.0</v>
      </c>
      <c r="H26" s="4">
        <v>143.13</v>
      </c>
      <c r="I26" s="5" t="s">
        <v>13</v>
      </c>
      <c r="J26" s="2">
        <v>45891.40899305556</v>
      </c>
    </row>
    <row r="27" ht="22.5" customHeight="1">
      <c r="A27" s="2">
        <v>45887.16091435185</v>
      </c>
      <c r="B27" s="3" t="s">
        <v>83</v>
      </c>
      <c r="C27" s="3" t="s">
        <v>84</v>
      </c>
      <c r="D27" s="3" t="s">
        <v>85</v>
      </c>
      <c r="E27" s="4">
        <v>9.765610848E9</v>
      </c>
      <c r="F27" s="3">
        <v>650.0</v>
      </c>
      <c r="G27" s="4">
        <v>1650.0</v>
      </c>
      <c r="H27" s="4">
        <v>183.13</v>
      </c>
      <c r="I27" s="5" t="s">
        <v>13</v>
      </c>
      <c r="J27" s="2">
        <v>45891.24974537037</v>
      </c>
    </row>
    <row r="28" ht="22.5" customHeight="1">
      <c r="A28" s="2">
        <v>45886.18208333333</v>
      </c>
      <c r="B28" s="3" t="s">
        <v>86</v>
      </c>
      <c r="C28" s="3" t="s">
        <v>87</v>
      </c>
      <c r="D28" s="3" t="s">
        <v>88</v>
      </c>
      <c r="E28" s="4">
        <v>9.862541342E9</v>
      </c>
      <c r="F28" s="3">
        <v>300.0</v>
      </c>
      <c r="G28" s="4">
        <v>1300.0</v>
      </c>
      <c r="H28" s="4">
        <v>3.25</v>
      </c>
      <c r="I28" s="5" t="s">
        <v>13</v>
      </c>
      <c r="J28" s="2">
        <v>45886.49072916667</v>
      </c>
    </row>
    <row r="29" ht="22.5" customHeight="1">
      <c r="A29" s="2">
        <v>45873.199583333335</v>
      </c>
      <c r="B29" s="3" t="s">
        <v>89</v>
      </c>
      <c r="C29" s="3" t="s">
        <v>90</v>
      </c>
      <c r="D29" s="3" t="s">
        <v>91</v>
      </c>
      <c r="E29" s="4">
        <v>9.818118588E9</v>
      </c>
      <c r="F29" s="3">
        <v>550.0</v>
      </c>
      <c r="G29" s="4">
        <v>1550.0</v>
      </c>
      <c r="H29" s="4">
        <v>182.88</v>
      </c>
      <c r="I29" s="5" t="s">
        <v>13</v>
      </c>
      <c r="J29" s="2">
        <v>45882.43194444444</v>
      </c>
    </row>
    <row r="30" ht="22.5" customHeight="1">
      <c r="A30" s="2">
        <v>45873.19865740741</v>
      </c>
      <c r="B30" s="3" t="s">
        <v>92</v>
      </c>
      <c r="C30" s="3" t="s">
        <v>93</v>
      </c>
      <c r="D30" s="3" t="s">
        <v>94</v>
      </c>
      <c r="E30" s="4">
        <v>9.766529083E9</v>
      </c>
      <c r="F30" s="3">
        <v>350.0</v>
      </c>
      <c r="G30" s="4">
        <v>1350.0</v>
      </c>
      <c r="H30" s="4">
        <v>162.38</v>
      </c>
      <c r="I30" s="5" t="s">
        <v>13</v>
      </c>
      <c r="J30" s="2">
        <v>45877.46166666667</v>
      </c>
    </row>
    <row r="31" ht="22.5" customHeight="1">
      <c r="A31" s="2">
        <v>45872.17322916666</v>
      </c>
      <c r="B31" s="3" t="s">
        <v>95</v>
      </c>
      <c r="C31" s="3" t="s">
        <v>96</v>
      </c>
      <c r="D31" s="3" t="s">
        <v>97</v>
      </c>
      <c r="E31" s="4">
        <v>9.816523777E9</v>
      </c>
      <c r="F31" s="3">
        <v>450.0</v>
      </c>
      <c r="G31" s="4">
        <v>1450.0</v>
      </c>
      <c r="H31" s="4">
        <v>182.63</v>
      </c>
      <c r="I31" s="5" t="s">
        <v>13</v>
      </c>
      <c r="J31" s="2">
        <v>45873.35476851852</v>
      </c>
    </row>
    <row r="32" ht="22.5" customHeight="1">
      <c r="A32" s="2">
        <v>45872.17152777778</v>
      </c>
      <c r="B32" s="3" t="s">
        <v>98</v>
      </c>
      <c r="C32" s="3" t="s">
        <v>99</v>
      </c>
      <c r="D32" s="3" t="s">
        <v>100</v>
      </c>
      <c r="E32" s="4">
        <v>9.820330404E9</v>
      </c>
      <c r="F32" s="3">
        <v>550.0</v>
      </c>
      <c r="G32" s="4">
        <v>1550.0</v>
      </c>
      <c r="H32" s="4">
        <v>212.88</v>
      </c>
      <c r="I32" s="5" t="s">
        <v>13</v>
      </c>
      <c r="J32" s="2">
        <v>45875.59798611111</v>
      </c>
    </row>
    <row r="33" ht="22.5" customHeight="1">
      <c r="A33" s="2">
        <v>45872.17049768518</v>
      </c>
      <c r="B33" s="3" t="s">
        <v>101</v>
      </c>
      <c r="C33" s="3" t="s">
        <v>102</v>
      </c>
      <c r="D33" s="3" t="s">
        <v>103</v>
      </c>
      <c r="E33" s="4">
        <v>9.815663088E9</v>
      </c>
      <c r="F33" s="3">
        <v>350.0</v>
      </c>
      <c r="G33" s="4">
        <v>1350.0</v>
      </c>
      <c r="H33" s="4">
        <v>182.38</v>
      </c>
      <c r="I33" s="5" t="s">
        <v>13</v>
      </c>
      <c r="J33" s="2">
        <v>45877.28244212963</v>
      </c>
    </row>
    <row r="34" ht="22.5" customHeight="1">
      <c r="A34" s="2">
        <v>45870.56554398148</v>
      </c>
      <c r="B34" s="3" t="s">
        <v>104</v>
      </c>
      <c r="C34" s="3" t="s">
        <v>105</v>
      </c>
      <c r="D34" s="3" t="s">
        <v>106</v>
      </c>
      <c r="E34" s="4">
        <v>9.814977789E9</v>
      </c>
      <c r="F34" s="3">
        <v>0.0</v>
      </c>
      <c r="G34" s="4">
        <v>0.0</v>
      </c>
      <c r="H34" s="4">
        <v>179.38</v>
      </c>
      <c r="I34" s="5" t="s">
        <v>107</v>
      </c>
      <c r="J34" s="2">
        <v>45870.56841435185</v>
      </c>
    </row>
    <row r="35" ht="22.5" customHeight="1">
      <c r="A35" s="2">
        <v>45869.20410879629</v>
      </c>
      <c r="B35" s="3" t="s">
        <v>108</v>
      </c>
      <c r="C35" s="3" t="s">
        <v>109</v>
      </c>
      <c r="D35" s="3" t="s">
        <v>110</v>
      </c>
      <c r="E35" s="4">
        <v>9.706877325E9</v>
      </c>
      <c r="F35" s="3">
        <v>350.0</v>
      </c>
      <c r="G35" s="4">
        <v>1350.0</v>
      </c>
      <c r="H35" s="4">
        <v>182.38</v>
      </c>
      <c r="I35" s="5" t="s">
        <v>13</v>
      </c>
      <c r="J35" s="2">
        <v>45872.361342592594</v>
      </c>
    </row>
    <row r="36" ht="22.5" customHeight="1">
      <c r="A36" s="2">
        <v>45869.20298611111</v>
      </c>
      <c r="B36" s="3" t="s">
        <v>111</v>
      </c>
      <c r="C36" s="3" t="s">
        <v>112</v>
      </c>
      <c r="D36" s="3" t="s">
        <v>113</v>
      </c>
      <c r="E36" s="4">
        <v>9.763313182E9</v>
      </c>
      <c r="F36" s="3">
        <v>400.0</v>
      </c>
      <c r="G36" s="4">
        <v>1400.0</v>
      </c>
      <c r="H36" s="4">
        <v>102.5</v>
      </c>
      <c r="I36" s="5" t="s">
        <v>13</v>
      </c>
      <c r="J36" s="2">
        <v>45869.45903935185</v>
      </c>
    </row>
    <row r="37" ht="22.5" customHeight="1">
      <c r="A37" s="2">
        <v>45868.4715162037</v>
      </c>
      <c r="B37" s="3" t="s">
        <v>114</v>
      </c>
      <c r="C37" s="3" t="s">
        <v>18</v>
      </c>
      <c r="D37" s="3" t="s">
        <v>19</v>
      </c>
      <c r="E37" s="4">
        <v>9.847465097E9</v>
      </c>
      <c r="F37" s="3">
        <v>0.0</v>
      </c>
      <c r="G37" s="4">
        <v>0.0</v>
      </c>
      <c r="H37" s="4">
        <v>144.5</v>
      </c>
      <c r="I37" s="5" t="s">
        <v>20</v>
      </c>
      <c r="J37" s="2">
        <v>45872.21202546296</v>
      </c>
    </row>
    <row r="38" ht="22.5" customHeight="1">
      <c r="A38" s="2">
        <v>45867.21146990741</v>
      </c>
      <c r="B38" s="3" t="s">
        <v>115</v>
      </c>
      <c r="C38" s="3" t="s">
        <v>105</v>
      </c>
      <c r="D38" s="3" t="s">
        <v>106</v>
      </c>
      <c r="E38" s="4">
        <v>9.814977789E9</v>
      </c>
      <c r="F38" s="3">
        <v>700.0</v>
      </c>
      <c r="G38" s="4">
        <v>2500.0</v>
      </c>
      <c r="H38" s="4">
        <v>185.25</v>
      </c>
      <c r="I38" s="5" t="s">
        <v>13</v>
      </c>
      <c r="J38" s="2">
        <v>45870.19578703704</v>
      </c>
    </row>
    <row r="39" ht="22.5" customHeight="1">
      <c r="A39" s="2">
        <v>45867.20958333334</v>
      </c>
      <c r="B39" s="3" t="s">
        <v>116</v>
      </c>
      <c r="C39" s="3" t="s">
        <v>117</v>
      </c>
      <c r="D39" s="3" t="s">
        <v>118</v>
      </c>
      <c r="E39" s="4">
        <v>9.762065388E9</v>
      </c>
      <c r="F39" s="3">
        <v>350.0</v>
      </c>
      <c r="G39" s="4">
        <v>1350.0</v>
      </c>
      <c r="H39" s="4">
        <v>212.38</v>
      </c>
      <c r="I39" s="5" t="s">
        <v>13</v>
      </c>
      <c r="J39" s="2">
        <v>45872.440729166665</v>
      </c>
    </row>
    <row r="40" ht="22.5" customHeight="1">
      <c r="A40" s="2">
        <v>45865.195335648146</v>
      </c>
      <c r="B40" s="3" t="s">
        <v>114</v>
      </c>
      <c r="C40" s="3" t="s">
        <v>23</v>
      </c>
      <c r="D40" s="3" t="s">
        <v>119</v>
      </c>
      <c r="E40" s="4">
        <v>9.768966994E9</v>
      </c>
      <c r="F40" s="3">
        <v>500.0</v>
      </c>
      <c r="G40" s="4">
        <v>1500.0</v>
      </c>
      <c r="H40" s="4">
        <v>102.75</v>
      </c>
      <c r="I40" s="5" t="s">
        <v>13</v>
      </c>
      <c r="J40" s="2">
        <v>45867.2159837963</v>
      </c>
    </row>
    <row r="41" ht="22.5" customHeight="1">
      <c r="A41" s="2">
        <v>45865.183171296296</v>
      </c>
      <c r="B41" s="3" t="s">
        <v>120</v>
      </c>
      <c r="C41" s="3" t="s">
        <v>121</v>
      </c>
      <c r="D41" s="3" t="s">
        <v>122</v>
      </c>
      <c r="E41" s="4">
        <v>9.862232928E9</v>
      </c>
      <c r="F41" s="3">
        <v>450.0</v>
      </c>
      <c r="G41" s="4">
        <v>1350.0</v>
      </c>
      <c r="H41" s="4">
        <v>162.38</v>
      </c>
      <c r="I41" s="5" t="s">
        <v>13</v>
      </c>
      <c r="J41" s="2">
        <v>45867.38013888889</v>
      </c>
    </row>
    <row r="42" ht="22.5" customHeight="1">
      <c r="A42" s="2">
        <v>45865.18116898148</v>
      </c>
      <c r="B42" s="3" t="s">
        <v>123</v>
      </c>
      <c r="C42" s="3" t="s">
        <v>124</v>
      </c>
      <c r="D42" s="3" t="s">
        <v>125</v>
      </c>
      <c r="E42" s="4">
        <v>9.84764997E9</v>
      </c>
      <c r="F42" s="3">
        <v>400.0</v>
      </c>
      <c r="G42" s="4">
        <v>1400.0</v>
      </c>
      <c r="H42" s="4">
        <v>212.5</v>
      </c>
      <c r="I42" s="5" t="s">
        <v>13</v>
      </c>
      <c r="J42" s="2">
        <v>45867.280752314815</v>
      </c>
    </row>
    <row r="43" ht="22.5" customHeight="1">
      <c r="A43" s="2">
        <v>45865.17990740741</v>
      </c>
      <c r="B43" s="3" t="s">
        <v>126</v>
      </c>
      <c r="C43" s="3" t="s">
        <v>127</v>
      </c>
      <c r="D43" s="3" t="s">
        <v>128</v>
      </c>
      <c r="E43" s="4">
        <v>9.844755593E9</v>
      </c>
      <c r="F43" s="3">
        <v>0.0</v>
      </c>
      <c r="G43" s="4">
        <v>0.0</v>
      </c>
      <c r="H43" s="4">
        <v>182.38</v>
      </c>
      <c r="I43" s="5" t="s">
        <v>107</v>
      </c>
      <c r="J43" s="2">
        <v>45865.49439814815</v>
      </c>
    </row>
    <row r="44" ht="22.5" customHeight="1">
      <c r="A44" s="2">
        <v>45865.17979166667</v>
      </c>
      <c r="B44" s="3" t="s">
        <v>126</v>
      </c>
      <c r="C44" s="3" t="s">
        <v>127</v>
      </c>
      <c r="D44" s="3" t="s">
        <v>128</v>
      </c>
      <c r="E44" s="4">
        <v>9.844755593E9</v>
      </c>
      <c r="F44" s="3">
        <v>350.0</v>
      </c>
      <c r="G44" s="4">
        <v>1350.0</v>
      </c>
      <c r="H44" s="4">
        <v>182.38</v>
      </c>
      <c r="I44" s="5" t="s">
        <v>13</v>
      </c>
      <c r="J44" s="2">
        <v>45866.38072916667</v>
      </c>
    </row>
    <row r="45" ht="22.5" customHeight="1">
      <c r="A45" s="2">
        <v>45865.17822916667</v>
      </c>
      <c r="B45" s="3" t="s">
        <v>129</v>
      </c>
      <c r="C45" s="3" t="s">
        <v>130</v>
      </c>
      <c r="D45" s="3" t="s">
        <v>131</v>
      </c>
      <c r="E45" s="4">
        <v>9.869667233E9</v>
      </c>
      <c r="F45" s="3">
        <v>320.0</v>
      </c>
      <c r="G45" s="4">
        <v>1320.0</v>
      </c>
      <c r="H45" s="4">
        <v>212.3</v>
      </c>
      <c r="I45" s="5" t="s">
        <v>13</v>
      </c>
      <c r="J45" s="2">
        <v>45867.60194444445</v>
      </c>
    </row>
    <row r="46" ht="22.5" customHeight="1">
      <c r="A46" s="2">
        <v>45864.49565972222</v>
      </c>
      <c r="C46" s="3" t="s">
        <v>18</v>
      </c>
      <c r="D46" s="3" t="s">
        <v>19</v>
      </c>
      <c r="E46" s="4">
        <v>9.847465097E9</v>
      </c>
      <c r="F46" s="3">
        <v>0.0</v>
      </c>
      <c r="G46" s="4">
        <v>0.0</v>
      </c>
      <c r="H46" s="4">
        <v>161.5</v>
      </c>
      <c r="I46" s="5" t="s">
        <v>20</v>
      </c>
      <c r="J46" s="2">
        <v>45869.27458333333</v>
      </c>
    </row>
    <row r="47" ht="22.5" customHeight="1">
      <c r="A47" s="2">
        <v>45864.20482638889</v>
      </c>
      <c r="B47" s="3" t="s">
        <v>132</v>
      </c>
      <c r="C47" s="3" t="s">
        <v>133</v>
      </c>
      <c r="D47" s="3" t="s">
        <v>134</v>
      </c>
      <c r="E47" s="4">
        <v>9.701538165E9</v>
      </c>
      <c r="F47" s="3">
        <v>600.0</v>
      </c>
      <c r="G47" s="4">
        <v>1600.0</v>
      </c>
      <c r="H47" s="4">
        <v>163.0</v>
      </c>
      <c r="I47" s="5" t="s">
        <v>13</v>
      </c>
      <c r="J47" s="2">
        <v>45865.5271875</v>
      </c>
    </row>
    <row r="48" ht="22.5" customHeight="1">
      <c r="A48" s="2">
        <v>45864.203668981485</v>
      </c>
      <c r="B48" s="3" t="s">
        <v>135</v>
      </c>
      <c r="C48" s="3" t="s">
        <v>136</v>
      </c>
      <c r="D48" s="3" t="s">
        <v>137</v>
      </c>
      <c r="E48" s="4">
        <v>9.827940827E9</v>
      </c>
      <c r="F48" s="3">
        <v>350.0</v>
      </c>
      <c r="G48" s="4">
        <v>1350.0</v>
      </c>
      <c r="H48" s="4">
        <v>182.38</v>
      </c>
      <c r="I48" s="5" t="s">
        <v>13</v>
      </c>
      <c r="J48" s="2">
        <v>45866.45042824074</v>
      </c>
    </row>
    <row r="49" ht="22.5" customHeight="1">
      <c r="A49" s="2">
        <v>45864.19787037037</v>
      </c>
      <c r="B49" s="3" t="s">
        <v>114</v>
      </c>
      <c r="C49" s="3" t="s">
        <v>138</v>
      </c>
      <c r="D49" s="3" t="s">
        <v>139</v>
      </c>
      <c r="E49" s="4">
        <v>9.701268575E9</v>
      </c>
      <c r="F49" s="3">
        <v>0.0</v>
      </c>
      <c r="G49" s="4">
        <v>0.0</v>
      </c>
      <c r="H49" s="4">
        <v>0.0</v>
      </c>
      <c r="I49" s="5" t="s">
        <v>39</v>
      </c>
      <c r="J49" s="2">
        <v>45868.457291666666</v>
      </c>
    </row>
    <row r="50" ht="22.5" customHeight="1">
      <c r="A50" s="2">
        <v>45864.19150462963</v>
      </c>
      <c r="B50" s="3" t="s">
        <v>140</v>
      </c>
      <c r="C50" s="3" t="s">
        <v>141</v>
      </c>
      <c r="D50" s="3" t="s">
        <v>142</v>
      </c>
      <c r="E50" s="4">
        <v>9.700310751E9</v>
      </c>
      <c r="F50" s="3">
        <v>300.0</v>
      </c>
      <c r="G50" s="4">
        <v>1300.0</v>
      </c>
      <c r="H50" s="4">
        <v>102.25</v>
      </c>
      <c r="I50" s="5" t="s">
        <v>13</v>
      </c>
      <c r="J50" s="2">
        <v>45865.17994212963</v>
      </c>
    </row>
    <row r="51" ht="22.5" customHeight="1">
      <c r="A51" s="2">
        <v>45863.478171296294</v>
      </c>
      <c r="B51" s="3" t="s">
        <v>143</v>
      </c>
      <c r="C51" s="3" t="s">
        <v>18</v>
      </c>
      <c r="D51" s="3" t="s">
        <v>19</v>
      </c>
      <c r="E51" s="4">
        <v>9.847465097E9</v>
      </c>
      <c r="F51" s="3">
        <v>0.0</v>
      </c>
      <c r="G51" s="4">
        <v>0.0</v>
      </c>
      <c r="H51" s="4">
        <v>204.0</v>
      </c>
      <c r="I51" s="5" t="s">
        <v>20</v>
      </c>
      <c r="J51" s="2">
        <v>45868.95670138889</v>
      </c>
    </row>
    <row r="52" ht="22.5" customHeight="1">
      <c r="A52" s="2">
        <v>45863.22542824074</v>
      </c>
      <c r="B52" s="3" t="s">
        <v>144</v>
      </c>
      <c r="C52" s="3" t="s">
        <v>145</v>
      </c>
      <c r="D52" s="3" t="s">
        <v>146</v>
      </c>
      <c r="E52" s="4">
        <v>9.822767923E9</v>
      </c>
      <c r="F52" s="3">
        <v>400.0</v>
      </c>
      <c r="G52" s="4">
        <v>1300.0</v>
      </c>
      <c r="H52" s="4">
        <v>102.25</v>
      </c>
      <c r="I52" s="5" t="s">
        <v>13</v>
      </c>
      <c r="J52" s="2">
        <v>45863.423414351855</v>
      </c>
    </row>
    <row r="53" ht="22.5" customHeight="1">
      <c r="A53" s="2">
        <v>45863.22326388889</v>
      </c>
      <c r="B53" s="3" t="s">
        <v>147</v>
      </c>
      <c r="C53" s="3" t="s">
        <v>148</v>
      </c>
      <c r="D53" s="3" t="s">
        <v>149</v>
      </c>
      <c r="E53" s="4">
        <v>9.705554376E9</v>
      </c>
      <c r="F53" s="3">
        <v>350.0</v>
      </c>
      <c r="G53" s="4">
        <v>1350.0</v>
      </c>
      <c r="H53" s="4">
        <v>162.38</v>
      </c>
      <c r="I53" s="5" t="s">
        <v>13</v>
      </c>
      <c r="J53" s="2">
        <v>45866.33039351852</v>
      </c>
    </row>
    <row r="54" ht="22.5" customHeight="1">
      <c r="A54" s="2">
        <v>45863.203414351854</v>
      </c>
      <c r="B54" s="3" t="s">
        <v>150</v>
      </c>
      <c r="C54" s="3" t="s">
        <v>151</v>
      </c>
      <c r="D54" s="3" t="s">
        <v>152</v>
      </c>
      <c r="E54" s="4">
        <v>9.814660801E9</v>
      </c>
      <c r="F54" s="3">
        <v>350.0</v>
      </c>
      <c r="G54" s="4">
        <v>1350.0</v>
      </c>
      <c r="H54" s="4">
        <v>182.38</v>
      </c>
      <c r="I54" s="5" t="s">
        <v>13</v>
      </c>
      <c r="J54" s="2">
        <v>45865.27884259259</v>
      </c>
    </row>
    <row r="55" ht="22.5" customHeight="1">
      <c r="A55" s="2">
        <v>45863.20244212963</v>
      </c>
      <c r="B55" s="3" t="s">
        <v>153</v>
      </c>
      <c r="C55" s="3" t="s">
        <v>154</v>
      </c>
      <c r="D55" s="3" t="s">
        <v>155</v>
      </c>
      <c r="E55" s="4">
        <v>9.816148089E9</v>
      </c>
      <c r="F55" s="3">
        <v>950.0</v>
      </c>
      <c r="G55" s="4">
        <v>2550.0</v>
      </c>
      <c r="H55" s="4">
        <v>165.38</v>
      </c>
      <c r="I55" s="5" t="s">
        <v>13</v>
      </c>
      <c r="J55" s="2">
        <v>45864.41622685185</v>
      </c>
    </row>
    <row r="56" ht="22.5" customHeight="1">
      <c r="A56" s="2">
        <v>45862.19709490741</v>
      </c>
      <c r="B56" s="3" t="s">
        <v>156</v>
      </c>
      <c r="C56" s="3" t="s">
        <v>157</v>
      </c>
      <c r="D56" s="3" t="s">
        <v>158</v>
      </c>
      <c r="E56" s="4">
        <v>9.803226972E9</v>
      </c>
      <c r="F56" s="3">
        <v>900.0</v>
      </c>
      <c r="G56" s="4">
        <v>2500.0</v>
      </c>
      <c r="H56" s="4">
        <v>105.25</v>
      </c>
      <c r="I56" s="5" t="s">
        <v>13</v>
      </c>
      <c r="J56" s="2">
        <v>45863.3140625</v>
      </c>
    </row>
    <row r="57" ht="22.5" customHeight="1">
      <c r="A57" s="2">
        <v>45862.19537037037</v>
      </c>
      <c r="B57" s="3" t="s">
        <v>159</v>
      </c>
      <c r="C57" s="3" t="s">
        <v>160</v>
      </c>
      <c r="D57" s="3" t="s">
        <v>161</v>
      </c>
      <c r="E57" s="4">
        <v>9.84730756E9</v>
      </c>
      <c r="F57" s="3">
        <v>350.0</v>
      </c>
      <c r="G57" s="4">
        <v>1350.0</v>
      </c>
      <c r="H57" s="4">
        <v>162.38</v>
      </c>
      <c r="I57" s="5" t="s">
        <v>13</v>
      </c>
      <c r="J57" s="2">
        <v>45863.42010416667</v>
      </c>
    </row>
    <row r="58" ht="22.5" customHeight="1">
      <c r="A58" s="2">
        <v>45862.188368055555</v>
      </c>
      <c r="B58" s="3" t="s">
        <v>162</v>
      </c>
      <c r="C58" s="3" t="s">
        <v>163</v>
      </c>
      <c r="D58" s="3" t="s">
        <v>164</v>
      </c>
      <c r="E58" s="4">
        <v>9.766381427E9</v>
      </c>
      <c r="F58" s="3">
        <v>700.0</v>
      </c>
      <c r="G58" s="4">
        <v>1300.0</v>
      </c>
      <c r="H58" s="4">
        <v>102.25</v>
      </c>
      <c r="I58" s="5" t="s">
        <v>13</v>
      </c>
      <c r="J58" s="2">
        <v>45863.28288194445</v>
      </c>
    </row>
    <row r="59" ht="22.5" customHeight="1">
      <c r="A59" s="2">
        <v>45861.20547453704</v>
      </c>
      <c r="C59" s="3" t="s">
        <v>165</v>
      </c>
      <c r="D59" s="3" t="s">
        <v>166</v>
      </c>
      <c r="E59" s="4">
        <v>9.844184404E9</v>
      </c>
      <c r="F59" s="3">
        <v>0.0</v>
      </c>
      <c r="G59" s="4">
        <v>0.0</v>
      </c>
      <c r="H59" s="4">
        <v>0.0</v>
      </c>
      <c r="I59" s="5" t="s">
        <v>39</v>
      </c>
      <c r="J59" s="2">
        <v>45864.38049768518</v>
      </c>
    </row>
    <row r="60" ht="22.5" customHeight="1">
      <c r="A60" s="2">
        <v>45861.20143518518</v>
      </c>
      <c r="B60" s="3" t="s">
        <v>167</v>
      </c>
      <c r="C60" s="3" t="s">
        <v>168</v>
      </c>
      <c r="D60" s="3" t="s">
        <v>169</v>
      </c>
      <c r="E60" s="4">
        <v>9.846952971E9</v>
      </c>
      <c r="F60" s="3">
        <v>350.0</v>
      </c>
      <c r="G60" s="4">
        <v>1350.0</v>
      </c>
      <c r="H60" s="4">
        <v>162.38</v>
      </c>
      <c r="I60" s="5" t="s">
        <v>13</v>
      </c>
      <c r="J60" s="2">
        <v>45862.362337962964</v>
      </c>
    </row>
    <row r="61" ht="22.5" customHeight="1">
      <c r="A61" s="2">
        <v>45861.199224537035</v>
      </c>
      <c r="B61" s="3" t="s">
        <v>170</v>
      </c>
      <c r="C61" s="3" t="s">
        <v>171</v>
      </c>
      <c r="D61" s="3" t="s">
        <v>172</v>
      </c>
      <c r="E61" s="4">
        <v>9.818994553E9</v>
      </c>
      <c r="F61" s="3">
        <v>700.0</v>
      </c>
      <c r="G61" s="4">
        <v>1300.0</v>
      </c>
      <c r="H61" s="4">
        <v>102.25</v>
      </c>
      <c r="I61" s="5" t="s">
        <v>13</v>
      </c>
      <c r="J61" s="2">
        <v>45861.44431712963</v>
      </c>
    </row>
    <row r="62" ht="22.5" customHeight="1">
      <c r="A62" s="2">
        <v>45860.992939814816</v>
      </c>
      <c r="B62" s="3" t="s">
        <v>173</v>
      </c>
      <c r="C62" s="3" t="s">
        <v>174</v>
      </c>
      <c r="D62" s="3" t="s">
        <v>175</v>
      </c>
      <c r="E62" s="4">
        <v>9.82428347E9</v>
      </c>
      <c r="F62" s="3">
        <v>0.0</v>
      </c>
      <c r="G62" s="4">
        <v>0.0</v>
      </c>
      <c r="H62" s="4">
        <v>182.38</v>
      </c>
      <c r="I62" s="5" t="s">
        <v>107</v>
      </c>
      <c r="J62" s="2">
        <v>45863.42215277778</v>
      </c>
    </row>
    <row r="63" ht="22.5" customHeight="1">
      <c r="A63" s="2">
        <v>45860.51074074074</v>
      </c>
      <c r="B63" s="3" t="s">
        <v>176</v>
      </c>
      <c r="C63" s="3" t="s">
        <v>177</v>
      </c>
      <c r="D63" s="3" t="s">
        <v>178</v>
      </c>
      <c r="E63" s="4">
        <v>9.826764749E9</v>
      </c>
      <c r="F63" s="3">
        <v>300.0</v>
      </c>
      <c r="G63" s="4">
        <v>1300.0</v>
      </c>
      <c r="H63" s="4">
        <v>102.25</v>
      </c>
      <c r="I63" s="5" t="s">
        <v>13</v>
      </c>
      <c r="J63" s="2">
        <v>45862.395266203705</v>
      </c>
    </row>
    <row r="64" ht="22.5" customHeight="1">
      <c r="A64" s="2">
        <v>45860.13800925926</v>
      </c>
      <c r="B64" s="3" t="s">
        <v>176</v>
      </c>
      <c r="C64" s="3" t="s">
        <v>18</v>
      </c>
      <c r="D64" s="3" t="s">
        <v>19</v>
      </c>
      <c r="E64" s="4">
        <v>9.847465097E9</v>
      </c>
      <c r="F64" s="3">
        <v>0.0</v>
      </c>
      <c r="G64" s="4">
        <v>0.0</v>
      </c>
      <c r="H64" s="4">
        <v>42.5</v>
      </c>
      <c r="I64" s="5" t="s">
        <v>20</v>
      </c>
      <c r="J64" s="2">
        <v>45863.212789351855</v>
      </c>
    </row>
    <row r="65" ht="22.5" customHeight="1">
      <c r="A65" s="2">
        <v>45859.48401620371</v>
      </c>
      <c r="B65" s="3" t="s">
        <v>170</v>
      </c>
      <c r="C65" s="3" t="s">
        <v>18</v>
      </c>
      <c r="D65" s="3" t="s">
        <v>19</v>
      </c>
      <c r="E65" s="4">
        <v>9.847465097E9</v>
      </c>
      <c r="F65" s="3">
        <v>0.0</v>
      </c>
      <c r="G65" s="4">
        <v>0.0</v>
      </c>
      <c r="H65" s="4">
        <v>204.0</v>
      </c>
      <c r="I65" s="5" t="s">
        <v>20</v>
      </c>
      <c r="J65" s="2">
        <v>45873.684328703705</v>
      </c>
    </row>
    <row r="66" ht="22.5" customHeight="1">
      <c r="A66" s="2">
        <v>45858.19225694444</v>
      </c>
      <c r="B66" s="3" t="s">
        <v>176</v>
      </c>
      <c r="C66" s="3" t="s">
        <v>177</v>
      </c>
      <c r="D66" s="3" t="s">
        <v>178</v>
      </c>
      <c r="E66" s="4">
        <v>9.826764749E9</v>
      </c>
      <c r="F66" s="3">
        <v>0.0</v>
      </c>
      <c r="G66" s="4">
        <v>0.0</v>
      </c>
      <c r="H66" s="4">
        <v>0.0</v>
      </c>
      <c r="I66" s="5" t="s">
        <v>39</v>
      </c>
      <c r="J66" s="2">
        <v>45860.135300925926</v>
      </c>
    </row>
    <row r="67" ht="22.5" customHeight="1">
      <c r="A67" s="2">
        <v>45857.22825231482</v>
      </c>
      <c r="B67" s="3" t="s">
        <v>179</v>
      </c>
      <c r="C67" s="3" t="s">
        <v>180</v>
      </c>
      <c r="D67" s="3" t="s">
        <v>181</v>
      </c>
      <c r="E67" s="4">
        <v>9.843713594E9</v>
      </c>
      <c r="F67" s="3">
        <v>750.0</v>
      </c>
      <c r="G67" s="4">
        <v>1350.0</v>
      </c>
      <c r="H67" s="4">
        <v>232.38</v>
      </c>
      <c r="I67" s="5" t="s">
        <v>13</v>
      </c>
      <c r="J67" s="2">
        <v>45860.518425925926</v>
      </c>
    </row>
    <row r="68" ht="22.5" customHeight="1">
      <c r="A68" s="2">
        <v>45857.20888888889</v>
      </c>
      <c r="B68" s="3" t="s">
        <v>182</v>
      </c>
      <c r="C68" s="3" t="s">
        <v>183</v>
      </c>
      <c r="D68" s="3" t="s">
        <v>184</v>
      </c>
      <c r="E68" s="4">
        <v>9.746898035E9</v>
      </c>
      <c r="F68" s="3">
        <v>450.0</v>
      </c>
      <c r="G68" s="4">
        <v>1450.0</v>
      </c>
      <c r="H68" s="4">
        <v>232.63</v>
      </c>
      <c r="I68" s="5" t="s">
        <v>13</v>
      </c>
      <c r="J68" s="2">
        <v>45862.31630787037</v>
      </c>
    </row>
    <row r="69" ht="22.5" customHeight="1">
      <c r="A69" s="2">
        <v>45857.20738425926</v>
      </c>
      <c r="B69" s="3" t="s">
        <v>143</v>
      </c>
      <c r="C69" s="3" t="s">
        <v>174</v>
      </c>
      <c r="D69" s="3" t="s">
        <v>175</v>
      </c>
      <c r="E69" s="4">
        <v>9.82428347E9</v>
      </c>
      <c r="F69" s="3">
        <v>0.0</v>
      </c>
      <c r="G69" s="4">
        <v>0.0</v>
      </c>
      <c r="H69" s="4">
        <v>0.0</v>
      </c>
      <c r="I69" s="5" t="s">
        <v>39</v>
      </c>
      <c r="J69" s="2">
        <v>45863.39418981481</v>
      </c>
    </row>
    <row r="70" ht="22.5" customHeight="1">
      <c r="A70" s="2">
        <v>45857.206296296295</v>
      </c>
      <c r="B70" s="3" t="s">
        <v>185</v>
      </c>
      <c r="C70" s="3" t="s">
        <v>186</v>
      </c>
      <c r="D70" s="3" t="s">
        <v>187</v>
      </c>
      <c r="E70" s="4">
        <v>9.829369398E9</v>
      </c>
      <c r="F70" s="3">
        <v>450.0</v>
      </c>
      <c r="G70" s="4">
        <v>2450.0</v>
      </c>
      <c r="H70" s="4">
        <v>215.13</v>
      </c>
      <c r="I70" s="5" t="s">
        <v>13</v>
      </c>
      <c r="J70" s="2">
        <v>45860.334328703706</v>
      </c>
    </row>
    <row r="71" ht="22.5" customHeight="1">
      <c r="A71" s="2">
        <v>45857.19940972222</v>
      </c>
      <c r="B71" s="3" t="s">
        <v>188</v>
      </c>
      <c r="C71" s="3" t="s">
        <v>189</v>
      </c>
      <c r="D71" s="3" t="s">
        <v>190</v>
      </c>
      <c r="E71" s="4">
        <v>9.80344133E9</v>
      </c>
      <c r="F71" s="3">
        <v>300.0</v>
      </c>
      <c r="G71" s="4">
        <v>1300.0</v>
      </c>
      <c r="H71" s="4">
        <v>152.25</v>
      </c>
      <c r="I71" s="5" t="s">
        <v>13</v>
      </c>
      <c r="J71" s="2">
        <v>45858.386412037034</v>
      </c>
    </row>
    <row r="72" ht="22.5" customHeight="1">
      <c r="A72" s="2">
        <v>45857.197800925926</v>
      </c>
      <c r="B72" s="3" t="s">
        <v>191</v>
      </c>
      <c r="C72" s="3" t="s">
        <v>192</v>
      </c>
      <c r="D72" s="3" t="s">
        <v>193</v>
      </c>
      <c r="E72" s="4">
        <v>9.86471728E9</v>
      </c>
      <c r="F72" s="3">
        <v>650.0</v>
      </c>
      <c r="G72" s="4">
        <v>1450.0</v>
      </c>
      <c r="H72" s="4">
        <v>212.63</v>
      </c>
      <c r="I72" s="5" t="s">
        <v>13</v>
      </c>
      <c r="J72" s="2">
        <v>45860.51934027778</v>
      </c>
    </row>
    <row r="73" ht="22.5" customHeight="1">
      <c r="A73" s="2">
        <v>45857.196435185186</v>
      </c>
      <c r="B73" s="3" t="s">
        <v>170</v>
      </c>
      <c r="C73" s="3" t="s">
        <v>194</v>
      </c>
      <c r="D73" s="3" t="s">
        <v>195</v>
      </c>
      <c r="E73" s="4">
        <v>9.805771229E9</v>
      </c>
      <c r="F73" s="3">
        <v>0.0</v>
      </c>
      <c r="G73" s="4">
        <v>0.0</v>
      </c>
      <c r="H73" s="4">
        <v>0.0</v>
      </c>
      <c r="I73" s="5" t="s">
        <v>39</v>
      </c>
      <c r="J73" s="2">
        <v>45859.47041666666</v>
      </c>
    </row>
    <row r="74" ht="22.5" customHeight="1">
      <c r="A74" s="2">
        <v>45857.19510416667</v>
      </c>
      <c r="B74" s="3" t="s">
        <v>170</v>
      </c>
      <c r="C74" s="3" t="s">
        <v>196</v>
      </c>
      <c r="D74" s="3" t="s">
        <v>197</v>
      </c>
      <c r="E74" s="4">
        <v>9.762248226E9</v>
      </c>
      <c r="F74" s="3">
        <v>700.0</v>
      </c>
      <c r="G74" s="4">
        <v>1300.0</v>
      </c>
      <c r="H74" s="4">
        <v>232.25</v>
      </c>
      <c r="I74" s="5" t="s">
        <v>13</v>
      </c>
      <c r="J74" s="2">
        <v>45860.359872685185</v>
      </c>
    </row>
    <row r="75" ht="22.5" customHeight="1">
      <c r="A75" s="2">
        <v>45822.13050925926</v>
      </c>
      <c r="B75" s="3" t="s">
        <v>198</v>
      </c>
      <c r="C75" s="3" t="s">
        <v>37</v>
      </c>
      <c r="D75" s="3" t="s">
        <v>199</v>
      </c>
      <c r="E75" s="4">
        <v>9.82801524E9</v>
      </c>
      <c r="F75" s="3">
        <v>300.0</v>
      </c>
      <c r="G75" s="4">
        <v>1300.0</v>
      </c>
      <c r="H75" s="4">
        <v>62.25</v>
      </c>
      <c r="I75" s="5" t="s">
        <v>13</v>
      </c>
      <c r="J75" s="2">
        <v>45823.447384259256</v>
      </c>
    </row>
    <row r="76" ht="22.5" customHeight="1">
      <c r="A76" s="2">
        <v>45822.128287037034</v>
      </c>
      <c r="B76" s="3" t="s">
        <v>200</v>
      </c>
      <c r="C76" s="3" t="s">
        <v>201</v>
      </c>
      <c r="D76" s="3" t="s">
        <v>202</v>
      </c>
      <c r="E76" s="4">
        <v>9.803475204E9</v>
      </c>
      <c r="F76" s="3">
        <v>700.0</v>
      </c>
      <c r="G76" s="4">
        <v>1300.0</v>
      </c>
      <c r="H76" s="4">
        <v>82.25</v>
      </c>
      <c r="I76" s="5" t="s">
        <v>13</v>
      </c>
      <c r="J76" s="2">
        <v>45827.51219907407</v>
      </c>
    </row>
    <row r="77" ht="22.5" customHeight="1">
      <c r="A77" s="2">
        <v>45819.140810185185</v>
      </c>
      <c r="B77" s="3" t="s">
        <v>200</v>
      </c>
      <c r="C77" s="3" t="s">
        <v>201</v>
      </c>
      <c r="D77" s="3" t="s">
        <v>203</v>
      </c>
      <c r="E77" s="4">
        <v>9.803475204E9</v>
      </c>
      <c r="F77" s="3">
        <v>0.0</v>
      </c>
      <c r="G77" s="4">
        <v>0.0</v>
      </c>
      <c r="H77" s="4">
        <v>82.25</v>
      </c>
      <c r="I77" s="5" t="s">
        <v>107</v>
      </c>
      <c r="J77" s="2">
        <v>45821.3037962963</v>
      </c>
    </row>
    <row r="78" ht="22.5" customHeight="1">
      <c r="A78" s="2">
        <v>45813.16777777778</v>
      </c>
      <c r="B78" s="3" t="s">
        <v>204</v>
      </c>
      <c r="C78" s="3" t="s">
        <v>205</v>
      </c>
      <c r="D78" s="3" t="s">
        <v>206</v>
      </c>
      <c r="E78" s="4">
        <v>9.801992885E9</v>
      </c>
      <c r="F78" s="3">
        <v>0.0</v>
      </c>
      <c r="G78" s="4">
        <v>200.0</v>
      </c>
      <c r="H78" s="4">
        <v>79.5</v>
      </c>
      <c r="I78" s="5" t="s">
        <v>207</v>
      </c>
      <c r="J78" s="2">
        <v>45814.41974537037</v>
      </c>
    </row>
    <row r="79" ht="22.5" customHeight="1">
      <c r="A79" s="2">
        <v>45813.1583912037</v>
      </c>
      <c r="B79" s="3" t="s">
        <v>208</v>
      </c>
      <c r="C79" s="3" t="s">
        <v>209</v>
      </c>
      <c r="D79" s="3" t="s">
        <v>210</v>
      </c>
      <c r="E79" s="4">
        <v>9.70776491E9</v>
      </c>
      <c r="F79" s="3">
        <v>300.0</v>
      </c>
      <c r="G79" s="4">
        <v>1300.0</v>
      </c>
      <c r="H79" s="4">
        <v>82.25</v>
      </c>
      <c r="I79" s="5" t="s">
        <v>13</v>
      </c>
      <c r="J79" s="2">
        <v>45822.3208912037</v>
      </c>
    </row>
    <row r="80" ht="22.5" customHeight="1">
      <c r="A80" s="2">
        <v>45812.542025462964</v>
      </c>
      <c r="B80" s="3" t="s">
        <v>211</v>
      </c>
      <c r="C80" s="3" t="s">
        <v>18</v>
      </c>
      <c r="D80" s="3" t="s">
        <v>19</v>
      </c>
      <c r="E80" s="4">
        <v>9.847465097E9</v>
      </c>
      <c r="F80" s="3">
        <v>0.0</v>
      </c>
      <c r="G80" s="4">
        <v>0.0</v>
      </c>
      <c r="H80" s="4">
        <v>67.15</v>
      </c>
      <c r="I80" s="5" t="s">
        <v>20</v>
      </c>
      <c r="J80" s="2">
        <v>45816.21318287037</v>
      </c>
    </row>
    <row r="81" ht="22.5" customHeight="1">
      <c r="A81" s="2">
        <v>45812.50950231482</v>
      </c>
      <c r="B81" s="3" t="s">
        <v>212</v>
      </c>
      <c r="C81" s="3" t="s">
        <v>18</v>
      </c>
      <c r="D81" s="3" t="s">
        <v>19</v>
      </c>
      <c r="E81" s="4">
        <v>9.847465097E9</v>
      </c>
      <c r="F81" s="3">
        <v>0.0</v>
      </c>
      <c r="G81" s="4">
        <v>0.0</v>
      </c>
      <c r="H81" s="4">
        <v>67.15</v>
      </c>
      <c r="I81" s="5" t="s">
        <v>20</v>
      </c>
      <c r="J81" s="2">
        <v>45816.21318287037</v>
      </c>
    </row>
    <row r="82" ht="22.5" customHeight="1">
      <c r="A82" s="2">
        <v>45812.194236111114</v>
      </c>
      <c r="B82" s="3" t="s">
        <v>213</v>
      </c>
      <c r="C82" s="3" t="s">
        <v>214</v>
      </c>
      <c r="D82" s="3" t="s">
        <v>215</v>
      </c>
      <c r="E82" s="4">
        <v>9.766341801E9</v>
      </c>
      <c r="F82" s="3">
        <v>600.0</v>
      </c>
      <c r="G82" s="4">
        <v>1600.0</v>
      </c>
      <c r="H82" s="4">
        <v>83.0</v>
      </c>
      <c r="I82" s="5" t="s">
        <v>13</v>
      </c>
      <c r="J82" s="2">
        <v>45815.330034722225</v>
      </c>
    </row>
    <row r="83" ht="22.5" customHeight="1">
      <c r="A83" s="2">
        <v>45812.19412037037</v>
      </c>
      <c r="B83" s="3" t="s">
        <v>213</v>
      </c>
      <c r="C83" s="3" t="s">
        <v>214</v>
      </c>
      <c r="D83" s="3" t="s">
        <v>215</v>
      </c>
      <c r="E83" s="4">
        <v>9.766341801E9</v>
      </c>
      <c r="F83" s="3">
        <v>0.0</v>
      </c>
      <c r="G83" s="4">
        <v>0.0</v>
      </c>
      <c r="H83" s="4">
        <v>83.0</v>
      </c>
      <c r="I83" s="5" t="s">
        <v>107</v>
      </c>
      <c r="J83" s="2">
        <v>45812.324212962965</v>
      </c>
    </row>
    <row r="84" ht="22.5" customHeight="1">
      <c r="A84" s="2">
        <v>45812.19016203703</v>
      </c>
      <c r="B84" s="3" t="s">
        <v>216</v>
      </c>
      <c r="C84" s="3" t="s">
        <v>217</v>
      </c>
      <c r="D84" s="3" t="s">
        <v>218</v>
      </c>
      <c r="E84" s="4">
        <v>9.816675875E9</v>
      </c>
      <c r="F84" s="3">
        <v>550.0</v>
      </c>
      <c r="G84" s="4">
        <v>1550.0</v>
      </c>
      <c r="H84" s="4">
        <v>82.88</v>
      </c>
      <c r="I84" s="5" t="s">
        <v>13</v>
      </c>
      <c r="J84" s="2">
        <v>45814.104895833334</v>
      </c>
    </row>
    <row r="85" ht="22.5" customHeight="1">
      <c r="A85" s="2">
        <v>45812.1859375</v>
      </c>
      <c r="B85" s="3" t="s">
        <v>219</v>
      </c>
      <c r="C85" s="3" t="s">
        <v>220</v>
      </c>
      <c r="D85" s="3" t="s">
        <v>221</v>
      </c>
      <c r="E85" s="4">
        <v>9.76900403E9</v>
      </c>
      <c r="F85" s="3">
        <v>400.0</v>
      </c>
      <c r="G85" s="4">
        <v>1200.0</v>
      </c>
      <c r="H85" s="4">
        <v>62.0</v>
      </c>
      <c r="I85" s="5" t="s">
        <v>13</v>
      </c>
      <c r="J85" s="2">
        <v>45812.57347222222</v>
      </c>
    </row>
    <row r="86" ht="22.5" customHeight="1">
      <c r="A86" s="2">
        <v>45812.18383101852</v>
      </c>
      <c r="B86" s="3" t="s">
        <v>222</v>
      </c>
      <c r="C86" s="3" t="s">
        <v>223</v>
      </c>
      <c r="D86" s="3" t="s">
        <v>224</v>
      </c>
      <c r="E86" s="4">
        <v>9.814744722E9</v>
      </c>
      <c r="F86" s="3">
        <v>900.0</v>
      </c>
      <c r="G86" s="4">
        <v>2500.0</v>
      </c>
      <c r="H86" s="4">
        <v>85.25</v>
      </c>
      <c r="I86" s="5" t="s">
        <v>13</v>
      </c>
      <c r="J86" s="2">
        <v>45814.34135416667</v>
      </c>
    </row>
    <row r="87" ht="22.5" customHeight="1">
      <c r="A87" s="2">
        <v>45812.18256944444</v>
      </c>
      <c r="B87" s="3" t="s">
        <v>225</v>
      </c>
      <c r="C87" s="3" t="s">
        <v>226</v>
      </c>
      <c r="D87" s="3" t="s">
        <v>227</v>
      </c>
      <c r="E87" s="4">
        <v>9.828836978E9</v>
      </c>
      <c r="F87" s="3">
        <v>300.0</v>
      </c>
      <c r="G87" s="4">
        <v>1300.0</v>
      </c>
      <c r="H87" s="4">
        <v>82.25</v>
      </c>
      <c r="I87" s="5" t="s">
        <v>13</v>
      </c>
      <c r="J87" s="2">
        <v>45813.43583333334</v>
      </c>
    </row>
    <row r="88" ht="22.5" customHeight="1">
      <c r="A88" s="2">
        <v>45811.2071875</v>
      </c>
      <c r="B88" s="3" t="s">
        <v>228</v>
      </c>
      <c r="C88" s="3" t="s">
        <v>229</v>
      </c>
      <c r="D88" s="3" t="s">
        <v>230</v>
      </c>
      <c r="E88" s="4">
        <v>9.840784344E9</v>
      </c>
      <c r="F88" s="3">
        <v>300.0</v>
      </c>
      <c r="G88" s="4">
        <v>1300.0</v>
      </c>
      <c r="H88" s="4">
        <v>82.25</v>
      </c>
      <c r="I88" s="5" t="s">
        <v>13</v>
      </c>
      <c r="J88" s="2">
        <v>45812.31383101852</v>
      </c>
    </row>
    <row r="89" ht="22.5" customHeight="1">
      <c r="A89" s="2">
        <v>45811.20578703703</v>
      </c>
      <c r="B89" s="3" t="s">
        <v>231</v>
      </c>
      <c r="C89" s="3" t="s">
        <v>232</v>
      </c>
      <c r="D89" s="3" t="s">
        <v>233</v>
      </c>
      <c r="E89" s="4">
        <v>9.826664765E9</v>
      </c>
      <c r="F89" s="3">
        <v>700.0</v>
      </c>
      <c r="G89" s="4">
        <v>1300.0</v>
      </c>
      <c r="H89" s="4">
        <v>82.25</v>
      </c>
      <c r="I89" s="5" t="s">
        <v>13</v>
      </c>
      <c r="J89" s="2">
        <v>45812.445810185185</v>
      </c>
    </row>
    <row r="90" ht="22.5" customHeight="1">
      <c r="A90" s="2">
        <v>45811.20447916666</v>
      </c>
      <c r="B90" s="3" t="s">
        <v>234</v>
      </c>
      <c r="C90" s="3" t="s">
        <v>220</v>
      </c>
      <c r="D90" s="3" t="s">
        <v>235</v>
      </c>
      <c r="E90" s="4">
        <v>9.76900403E9</v>
      </c>
      <c r="F90" s="3">
        <v>400.0</v>
      </c>
      <c r="G90" s="4">
        <v>1400.0</v>
      </c>
      <c r="H90" s="4">
        <v>62.5</v>
      </c>
      <c r="I90" s="5" t="s">
        <v>13</v>
      </c>
      <c r="J90" s="2">
        <v>45812.40385416667</v>
      </c>
    </row>
    <row r="91" ht="22.5" customHeight="1">
      <c r="A91" s="2">
        <v>45811.20193287037</v>
      </c>
      <c r="B91" s="3" t="s">
        <v>236</v>
      </c>
      <c r="C91" s="3" t="s">
        <v>237</v>
      </c>
      <c r="D91" s="3" t="s">
        <v>238</v>
      </c>
      <c r="E91" s="4">
        <v>9.805199354E9</v>
      </c>
      <c r="F91" s="3">
        <v>300.0</v>
      </c>
      <c r="G91" s="4">
        <v>1300.0</v>
      </c>
      <c r="H91" s="4">
        <v>82.25</v>
      </c>
      <c r="I91" s="5" t="s">
        <v>13</v>
      </c>
      <c r="J91" s="2">
        <v>45816.25824074074</v>
      </c>
    </row>
    <row r="92" ht="22.5" customHeight="1">
      <c r="A92" s="2">
        <v>45811.19650462963</v>
      </c>
      <c r="B92" s="3" t="s">
        <v>239</v>
      </c>
      <c r="C92" s="3" t="s">
        <v>240</v>
      </c>
      <c r="D92" s="3" t="s">
        <v>241</v>
      </c>
      <c r="E92" s="4">
        <v>9.746280186E9</v>
      </c>
      <c r="F92" s="3">
        <v>500.0</v>
      </c>
      <c r="G92" s="4">
        <v>1300.0</v>
      </c>
      <c r="H92" s="4">
        <v>82.25</v>
      </c>
      <c r="I92" s="5" t="s">
        <v>13</v>
      </c>
      <c r="J92" s="2">
        <v>45816.42743055556</v>
      </c>
    </row>
    <row r="93" ht="22.5" customHeight="1">
      <c r="A93" s="2">
        <v>45811.1947337963</v>
      </c>
      <c r="B93" s="3" t="s">
        <v>242</v>
      </c>
      <c r="C93" s="3" t="s">
        <v>243</v>
      </c>
      <c r="D93" s="3" t="s">
        <v>244</v>
      </c>
      <c r="E93" s="4">
        <v>9.709130886E9</v>
      </c>
      <c r="F93" s="3">
        <v>800.0</v>
      </c>
      <c r="G93" s="4">
        <v>2400.0</v>
      </c>
      <c r="H93" s="4">
        <v>85.0</v>
      </c>
      <c r="I93" s="5" t="s">
        <v>13</v>
      </c>
      <c r="J93" s="2">
        <v>45812.41483796296</v>
      </c>
    </row>
    <row r="94" ht="22.5" customHeight="1">
      <c r="A94" s="2">
        <v>45811.193402777775</v>
      </c>
      <c r="B94" s="3" t="s">
        <v>245</v>
      </c>
      <c r="C94" s="3" t="s">
        <v>246</v>
      </c>
      <c r="D94" s="3" t="s">
        <v>247</v>
      </c>
      <c r="E94" s="4">
        <v>9.847532187E9</v>
      </c>
      <c r="F94" s="3">
        <v>500.0</v>
      </c>
      <c r="G94" s="4">
        <v>2500.0</v>
      </c>
      <c r="H94" s="4">
        <v>85.25</v>
      </c>
      <c r="I94" s="5" t="s">
        <v>13</v>
      </c>
      <c r="J94" s="2">
        <v>45813.353993055556</v>
      </c>
    </row>
    <row r="95" ht="22.5" customHeight="1">
      <c r="A95" s="2">
        <v>45811.19211805556</v>
      </c>
      <c r="B95" s="3" t="s">
        <v>248</v>
      </c>
      <c r="C95" s="3" t="s">
        <v>249</v>
      </c>
      <c r="D95" s="3" t="s">
        <v>250</v>
      </c>
      <c r="E95" s="4">
        <v>9.703982249E9</v>
      </c>
      <c r="F95" s="3">
        <v>300.0</v>
      </c>
      <c r="G95" s="4">
        <v>1300.0</v>
      </c>
      <c r="H95" s="4">
        <v>82.25</v>
      </c>
      <c r="I95" s="5" t="s">
        <v>13</v>
      </c>
      <c r="J95" s="2">
        <v>45813.54565972222</v>
      </c>
    </row>
    <row r="96" ht="22.5" customHeight="1">
      <c r="A96" s="2">
        <v>45811.18950231482</v>
      </c>
      <c r="B96" s="3" t="s">
        <v>251</v>
      </c>
      <c r="C96" s="3" t="s">
        <v>205</v>
      </c>
      <c r="D96" s="3" t="s">
        <v>206</v>
      </c>
      <c r="E96" s="4">
        <v>9.801992885E9</v>
      </c>
      <c r="F96" s="3">
        <v>700.0</v>
      </c>
      <c r="G96" s="4">
        <v>1300.0</v>
      </c>
      <c r="H96" s="4">
        <v>82.25</v>
      </c>
      <c r="I96" s="5" t="s">
        <v>13</v>
      </c>
      <c r="J96" s="2">
        <v>45812.50335648148</v>
      </c>
    </row>
    <row r="97" ht="22.5" customHeight="1">
      <c r="A97" s="2">
        <v>45811.173726851855</v>
      </c>
      <c r="B97" s="3" t="s">
        <v>211</v>
      </c>
      <c r="C97" s="3" t="s">
        <v>252</v>
      </c>
      <c r="D97" s="3" t="s">
        <v>253</v>
      </c>
      <c r="E97" s="4">
        <v>9.804527646E9</v>
      </c>
      <c r="F97" s="3">
        <v>0.0</v>
      </c>
      <c r="G97" s="4">
        <v>0.0</v>
      </c>
      <c r="H97" s="4">
        <v>0.0</v>
      </c>
      <c r="I97" s="5" t="s">
        <v>39</v>
      </c>
      <c r="J97" s="2">
        <v>45812.52064814815</v>
      </c>
    </row>
    <row r="98" ht="22.5" customHeight="1">
      <c r="A98" s="2">
        <v>45810.195243055554</v>
      </c>
      <c r="B98" s="3" t="s">
        <v>254</v>
      </c>
      <c r="C98" s="3" t="s">
        <v>18</v>
      </c>
      <c r="D98" s="3" t="s">
        <v>19</v>
      </c>
      <c r="E98" s="4">
        <v>9.847465097E9</v>
      </c>
      <c r="F98" s="3">
        <v>0.0</v>
      </c>
      <c r="G98" s="4">
        <v>0.0</v>
      </c>
      <c r="H98" s="4">
        <v>14.75</v>
      </c>
      <c r="I98" s="5" t="s">
        <v>20</v>
      </c>
      <c r="J98" s="2">
        <v>45812.23144675926</v>
      </c>
    </row>
    <row r="99" ht="22.5" customHeight="1">
      <c r="A99" s="2">
        <v>45808.16850694444</v>
      </c>
      <c r="B99" s="3" t="s">
        <v>255</v>
      </c>
      <c r="C99" s="3" t="s">
        <v>256</v>
      </c>
      <c r="D99" s="3" t="s">
        <v>55</v>
      </c>
      <c r="E99" s="4">
        <v>9.708048884E9</v>
      </c>
      <c r="F99" s="3">
        <v>0.0</v>
      </c>
      <c r="G99" s="4">
        <v>0.0</v>
      </c>
      <c r="H99" s="4">
        <v>82.25</v>
      </c>
      <c r="I99" s="5" t="s">
        <v>107</v>
      </c>
      <c r="J99" s="2">
        <v>45809.503217592595</v>
      </c>
    </row>
    <row r="100" ht="22.5" customHeight="1">
      <c r="A100" s="2">
        <v>45808.16752314815</v>
      </c>
      <c r="B100" s="3" t="s">
        <v>257</v>
      </c>
      <c r="C100" s="3" t="s">
        <v>258</v>
      </c>
      <c r="D100" s="3" t="s">
        <v>259</v>
      </c>
      <c r="E100" s="4">
        <v>9.866889492E9</v>
      </c>
      <c r="F100" s="3">
        <v>0.0</v>
      </c>
      <c r="G100" s="4">
        <v>0.0</v>
      </c>
      <c r="H100" s="4">
        <v>62.25</v>
      </c>
      <c r="I100" s="5" t="s">
        <v>107</v>
      </c>
      <c r="J100" s="2">
        <v>45809.50346064815</v>
      </c>
    </row>
    <row r="101" ht="22.5" customHeight="1">
      <c r="A101" s="2">
        <v>45808.166284722225</v>
      </c>
      <c r="B101" s="3" t="s">
        <v>260</v>
      </c>
      <c r="C101" s="3" t="s">
        <v>261</v>
      </c>
      <c r="D101" s="3" t="s">
        <v>262</v>
      </c>
      <c r="E101" s="4">
        <v>9.867371428E9</v>
      </c>
      <c r="F101" s="3">
        <v>300.0</v>
      </c>
      <c r="G101" s="4">
        <v>1300.0</v>
      </c>
      <c r="H101" s="4">
        <v>62.25</v>
      </c>
      <c r="I101" s="5" t="s">
        <v>13</v>
      </c>
      <c r="J101" s="2">
        <v>45809.26428240741</v>
      </c>
    </row>
    <row r="102" ht="22.5" customHeight="1">
      <c r="A102" s="2">
        <v>45808.16447916667</v>
      </c>
      <c r="B102" s="3" t="s">
        <v>263</v>
      </c>
      <c r="C102" s="3" t="s">
        <v>264</v>
      </c>
      <c r="D102" s="3" t="s">
        <v>265</v>
      </c>
      <c r="E102" s="4">
        <v>9.767113688E9</v>
      </c>
      <c r="F102" s="3">
        <v>0.0</v>
      </c>
      <c r="G102" s="4">
        <v>0.0</v>
      </c>
      <c r="H102" s="4">
        <v>82.38</v>
      </c>
      <c r="I102" s="5" t="s">
        <v>107</v>
      </c>
      <c r="J102" s="2">
        <v>45809.50335648148</v>
      </c>
    </row>
    <row r="103" ht="22.5" customHeight="1">
      <c r="A103" s="2">
        <v>45808.161261574074</v>
      </c>
      <c r="B103" s="3" t="s">
        <v>254</v>
      </c>
      <c r="C103" s="3" t="s">
        <v>266</v>
      </c>
      <c r="D103" s="3" t="s">
        <v>267</v>
      </c>
      <c r="E103" s="4">
        <v>9.809158237E9</v>
      </c>
      <c r="F103" s="3">
        <v>0.0</v>
      </c>
      <c r="G103" s="4">
        <v>0.0</v>
      </c>
      <c r="H103" s="4">
        <v>0.0</v>
      </c>
      <c r="I103" s="5" t="s">
        <v>39</v>
      </c>
      <c r="J103" s="2">
        <v>45810.19482638889</v>
      </c>
    </row>
    <row r="104" ht="22.5" customHeight="1">
      <c r="A104" s="2">
        <v>45807.72388888889</v>
      </c>
      <c r="B104" s="3" t="s">
        <v>268</v>
      </c>
      <c r="C104" s="3" t="s">
        <v>18</v>
      </c>
      <c r="D104" s="3" t="s">
        <v>19</v>
      </c>
      <c r="E104" s="4">
        <v>9.847465097E9</v>
      </c>
      <c r="F104" s="3">
        <v>0.0</v>
      </c>
      <c r="G104" s="4">
        <v>0.0</v>
      </c>
      <c r="H104" s="4">
        <v>0.0</v>
      </c>
      <c r="I104" s="5" t="s">
        <v>20</v>
      </c>
      <c r="J104" s="2">
        <v>45812.204201388886</v>
      </c>
    </row>
    <row r="105" ht="22.5" customHeight="1">
      <c r="A105" s="2">
        <v>45807.7165625</v>
      </c>
      <c r="B105" s="3" t="s">
        <v>269</v>
      </c>
      <c r="C105" s="3" t="s">
        <v>18</v>
      </c>
      <c r="D105" s="3" t="s">
        <v>19</v>
      </c>
      <c r="E105" s="4">
        <v>9.847465097E9</v>
      </c>
      <c r="F105" s="3">
        <v>0.0</v>
      </c>
      <c r="G105" s="4">
        <v>0.0</v>
      </c>
      <c r="H105" s="4">
        <v>14.75</v>
      </c>
      <c r="I105" s="5" t="s">
        <v>20</v>
      </c>
      <c r="J105" s="2">
        <v>45812.204189814816</v>
      </c>
    </row>
    <row r="106" ht="22.5" customHeight="1">
      <c r="A106" s="2">
        <v>45807.18340277778</v>
      </c>
      <c r="B106" s="3" t="s">
        <v>212</v>
      </c>
      <c r="C106" s="3" t="s">
        <v>205</v>
      </c>
      <c r="D106" s="3" t="s">
        <v>270</v>
      </c>
      <c r="E106" s="4">
        <v>9.801992885E9</v>
      </c>
      <c r="F106" s="3">
        <v>0.0</v>
      </c>
      <c r="G106" s="4">
        <v>0.0</v>
      </c>
      <c r="H106" s="4">
        <v>0.0</v>
      </c>
      <c r="I106" s="5" t="s">
        <v>39</v>
      </c>
      <c r="J106" s="2">
        <v>45812.5075462963</v>
      </c>
    </row>
    <row r="107" ht="22.5" customHeight="1">
      <c r="A107" s="2">
        <v>45807.17722222222</v>
      </c>
      <c r="B107" s="3" t="s">
        <v>263</v>
      </c>
      <c r="C107" s="3" t="s">
        <v>271</v>
      </c>
      <c r="D107" s="3" t="s">
        <v>272</v>
      </c>
      <c r="E107" s="4">
        <v>9.806230424E9</v>
      </c>
      <c r="F107" s="3">
        <v>300.0</v>
      </c>
      <c r="G107" s="4">
        <v>1300.0</v>
      </c>
      <c r="H107" s="4">
        <v>82.25</v>
      </c>
      <c r="I107" s="5" t="s">
        <v>13</v>
      </c>
      <c r="J107" s="2">
        <v>45810.61547453704</v>
      </c>
    </row>
    <row r="108" ht="22.5" customHeight="1">
      <c r="A108" s="2">
        <v>45807.17543981481</v>
      </c>
      <c r="B108" s="3" t="s">
        <v>239</v>
      </c>
      <c r="C108" s="3" t="s">
        <v>273</v>
      </c>
      <c r="D108" s="3" t="s">
        <v>274</v>
      </c>
      <c r="E108" s="4">
        <v>9.764470296E9</v>
      </c>
      <c r="F108" s="3">
        <v>450.0</v>
      </c>
      <c r="G108" s="4">
        <v>1250.0</v>
      </c>
      <c r="H108" s="4">
        <v>82.13</v>
      </c>
      <c r="I108" s="5" t="s">
        <v>13</v>
      </c>
      <c r="J108" s="2">
        <v>45809.37590277778</v>
      </c>
    </row>
    <row r="109" ht="22.5" customHeight="1">
      <c r="A109" s="2">
        <v>45807.17444444444</v>
      </c>
      <c r="B109" s="3" t="s">
        <v>275</v>
      </c>
      <c r="C109" s="3" t="s">
        <v>276</v>
      </c>
      <c r="D109" s="3" t="s">
        <v>277</v>
      </c>
      <c r="E109" s="4">
        <v>9.769477499E9</v>
      </c>
      <c r="F109" s="3">
        <v>400.0</v>
      </c>
      <c r="G109" s="4">
        <v>2400.0</v>
      </c>
      <c r="H109" s="4">
        <v>85.0</v>
      </c>
      <c r="I109" s="5" t="s">
        <v>13</v>
      </c>
      <c r="J109" s="2">
        <v>45813.280960648146</v>
      </c>
    </row>
    <row r="110" ht="22.5" customHeight="1">
      <c r="A110" s="2">
        <v>45806.75989583333</v>
      </c>
      <c r="B110" s="3" t="s">
        <v>278</v>
      </c>
      <c r="C110" s="3" t="s">
        <v>279</v>
      </c>
      <c r="D110" s="3" t="s">
        <v>280</v>
      </c>
      <c r="E110" s="4">
        <v>9.844821299E9</v>
      </c>
      <c r="F110" s="3">
        <v>300.0</v>
      </c>
      <c r="G110" s="4">
        <v>1300.0</v>
      </c>
      <c r="H110" s="4">
        <v>62.25</v>
      </c>
      <c r="I110" s="5" t="s">
        <v>13</v>
      </c>
      <c r="J110" s="2">
        <v>45808.42049768518</v>
      </c>
    </row>
    <row r="111" ht="22.5" customHeight="1">
      <c r="A111" s="2">
        <v>45806.757893518516</v>
      </c>
      <c r="B111" s="3" t="s">
        <v>281</v>
      </c>
      <c r="C111" s="3" t="s">
        <v>282</v>
      </c>
      <c r="D111" s="3" t="s">
        <v>283</v>
      </c>
      <c r="E111" s="4">
        <v>9.866889492E9</v>
      </c>
      <c r="F111" s="3">
        <v>0.0</v>
      </c>
      <c r="G111" s="4">
        <v>0.0</v>
      </c>
      <c r="H111" s="4">
        <v>62.15</v>
      </c>
      <c r="I111" s="5" t="s">
        <v>107</v>
      </c>
      <c r="J111" s="2">
        <v>45807.18386574074</v>
      </c>
    </row>
    <row r="112" ht="22.5" customHeight="1">
      <c r="A112" s="2">
        <v>45806.45789351852</v>
      </c>
      <c r="B112" s="3" t="s">
        <v>268</v>
      </c>
      <c r="C112" s="3" t="s">
        <v>284</v>
      </c>
      <c r="D112" s="3" t="s">
        <v>285</v>
      </c>
      <c r="E112" s="4">
        <v>9.803319376E9</v>
      </c>
      <c r="F112" s="3">
        <v>200.0</v>
      </c>
      <c r="G112" s="4">
        <v>2400.0</v>
      </c>
      <c r="H112" s="4">
        <v>6.0</v>
      </c>
      <c r="I112" s="5" t="s">
        <v>286</v>
      </c>
      <c r="J112" s="2">
        <v>45807.714479166665</v>
      </c>
    </row>
    <row r="113" ht="22.5" customHeight="1">
      <c r="A113" s="2">
        <v>45806.44621527778</v>
      </c>
      <c r="B113" s="3" t="s">
        <v>287</v>
      </c>
      <c r="C113" s="3" t="s">
        <v>288</v>
      </c>
      <c r="D113" s="3" t="s">
        <v>289</v>
      </c>
      <c r="E113" s="4">
        <v>9.7047297E9</v>
      </c>
      <c r="F113" s="3">
        <v>500.0</v>
      </c>
      <c r="G113" s="4">
        <v>1300.0</v>
      </c>
      <c r="H113" s="4">
        <v>82.25</v>
      </c>
      <c r="I113" s="5" t="s">
        <v>13</v>
      </c>
      <c r="J113" s="2">
        <v>45809.487708333334</v>
      </c>
    </row>
    <row r="114" ht="22.5" customHeight="1">
      <c r="A114" s="2">
        <v>45806.440833333334</v>
      </c>
      <c r="C114" s="3" t="s">
        <v>290</v>
      </c>
      <c r="D114" s="3" t="s">
        <v>291</v>
      </c>
      <c r="E114" s="4">
        <v>9.810065122E9</v>
      </c>
      <c r="F114" s="3">
        <v>260.0</v>
      </c>
      <c r="G114" s="4">
        <v>1260.0</v>
      </c>
      <c r="H114" s="4">
        <v>3.15</v>
      </c>
      <c r="I114" s="5" t="s">
        <v>13</v>
      </c>
      <c r="J114" s="2">
        <v>45807.21878472222</v>
      </c>
    </row>
    <row r="115" ht="22.5" customHeight="1">
      <c r="A115" s="2">
        <v>45806.43519675926</v>
      </c>
      <c r="B115" s="3" t="s">
        <v>292</v>
      </c>
      <c r="C115" s="3" t="s">
        <v>293</v>
      </c>
      <c r="D115" s="3" t="s">
        <v>274</v>
      </c>
      <c r="E115" s="4">
        <v>9.764470296E9</v>
      </c>
      <c r="F115" s="3">
        <v>300.0</v>
      </c>
      <c r="G115" s="4">
        <v>1300.0</v>
      </c>
      <c r="H115" s="4">
        <v>82.25</v>
      </c>
      <c r="I115" s="5" t="s">
        <v>13</v>
      </c>
      <c r="J115" s="2">
        <v>45809.37627314815</v>
      </c>
    </row>
    <row r="116" ht="22.5" customHeight="1">
      <c r="A116" s="2">
        <v>45806.42952546296</v>
      </c>
      <c r="B116" s="3" t="s">
        <v>294</v>
      </c>
      <c r="C116" s="3" t="s">
        <v>295</v>
      </c>
      <c r="D116" s="3" t="s">
        <v>296</v>
      </c>
      <c r="E116" s="4">
        <v>9.847148778E9</v>
      </c>
      <c r="F116" s="3">
        <v>300.0</v>
      </c>
      <c r="G116" s="4">
        <v>1300.0</v>
      </c>
      <c r="H116" s="4">
        <v>3.25</v>
      </c>
      <c r="I116" s="5" t="s">
        <v>13</v>
      </c>
      <c r="J116" s="2">
        <v>45807.29958333333</v>
      </c>
    </row>
    <row r="117" ht="22.5" customHeight="1">
      <c r="A117" s="2">
        <v>45806.19415509259</v>
      </c>
      <c r="B117" s="3" t="s">
        <v>269</v>
      </c>
      <c r="C117" s="3" t="s">
        <v>297</v>
      </c>
      <c r="D117" s="3" t="s">
        <v>298</v>
      </c>
      <c r="E117" s="4">
        <v>9.761875124E9</v>
      </c>
      <c r="F117" s="3">
        <v>0.0</v>
      </c>
      <c r="G117" s="4">
        <v>0.0</v>
      </c>
      <c r="H117" s="4">
        <v>0.0</v>
      </c>
      <c r="I117" s="5" t="s">
        <v>39</v>
      </c>
      <c r="J117" s="2">
        <v>45807.38868055555</v>
      </c>
    </row>
    <row r="118" ht="22.5" customHeight="1">
      <c r="A118" s="2">
        <v>45806.18869212963</v>
      </c>
      <c r="B118" s="3" t="s">
        <v>299</v>
      </c>
      <c r="C118" s="3" t="s">
        <v>300</v>
      </c>
      <c r="D118" s="3" t="s">
        <v>301</v>
      </c>
      <c r="E118" s="4">
        <v>9.76545561E9</v>
      </c>
      <c r="F118" s="3">
        <v>0.0</v>
      </c>
      <c r="G118" s="4">
        <v>1300.0</v>
      </c>
      <c r="H118" s="4">
        <v>82.25</v>
      </c>
      <c r="I118" s="5" t="s">
        <v>13</v>
      </c>
      <c r="J118" s="2">
        <v>45809.59615740741</v>
      </c>
    </row>
    <row r="119" ht="22.5" customHeight="1">
      <c r="A119" s="2">
        <v>45806.185381944444</v>
      </c>
      <c r="B119" s="3" t="s">
        <v>302</v>
      </c>
      <c r="C119" s="3" t="s">
        <v>303</v>
      </c>
      <c r="D119" s="3" t="s">
        <v>304</v>
      </c>
      <c r="E119" s="4">
        <v>9.849083465E9</v>
      </c>
      <c r="F119" s="3">
        <v>300.0</v>
      </c>
      <c r="G119" s="4">
        <v>1300.0</v>
      </c>
      <c r="H119" s="4">
        <v>3.25</v>
      </c>
      <c r="I119" s="5" t="s">
        <v>13</v>
      </c>
      <c r="J119" s="2">
        <v>45806.49050925926</v>
      </c>
    </row>
    <row r="120" ht="22.5" customHeight="1">
      <c r="A120" s="2">
        <v>45806.18256944444</v>
      </c>
      <c r="B120" s="3" t="s">
        <v>305</v>
      </c>
      <c r="C120" s="3" t="s">
        <v>306</v>
      </c>
      <c r="D120" s="3" t="s">
        <v>307</v>
      </c>
      <c r="E120" s="4">
        <v>9.865111985E9</v>
      </c>
      <c r="F120" s="3">
        <v>260.0</v>
      </c>
      <c r="G120" s="4">
        <v>1260.0</v>
      </c>
      <c r="H120" s="4">
        <v>3.15</v>
      </c>
      <c r="I120" s="5" t="s">
        <v>13</v>
      </c>
      <c r="J120" s="2">
        <v>45806.51385416667</v>
      </c>
    </row>
    <row r="121" ht="22.5" customHeight="1">
      <c r="A121" s="2">
        <v>45806.179085648146</v>
      </c>
      <c r="B121" s="3" t="s">
        <v>308</v>
      </c>
      <c r="C121" s="3" t="s">
        <v>309</v>
      </c>
      <c r="D121" s="3" t="s">
        <v>310</v>
      </c>
      <c r="E121" s="4">
        <v>9.805122929E9</v>
      </c>
      <c r="F121" s="3">
        <v>300.0</v>
      </c>
      <c r="G121" s="4">
        <v>1300.0</v>
      </c>
      <c r="H121" s="4">
        <v>82.25</v>
      </c>
      <c r="I121" s="5" t="s">
        <v>13</v>
      </c>
      <c r="J121" s="2">
        <v>45813.317291666666</v>
      </c>
    </row>
    <row r="122" ht="22.5" customHeight="1">
      <c r="A122" s="2">
        <v>45806.17574074074</v>
      </c>
      <c r="B122" s="3" t="s">
        <v>311</v>
      </c>
      <c r="C122" s="3" t="s">
        <v>312</v>
      </c>
      <c r="D122" s="3" t="s">
        <v>313</v>
      </c>
      <c r="E122" s="4">
        <v>9.864549595E9</v>
      </c>
      <c r="F122" s="3">
        <v>300.0</v>
      </c>
      <c r="G122" s="4">
        <v>1300.0</v>
      </c>
      <c r="H122" s="4">
        <v>82.25</v>
      </c>
      <c r="I122" s="5" t="s">
        <v>13</v>
      </c>
      <c r="J122" s="2">
        <v>45809.59614583333</v>
      </c>
    </row>
    <row r="123" ht="22.5" customHeight="1">
      <c r="A123" s="2">
        <v>45806.17267361111</v>
      </c>
      <c r="B123" s="3" t="s">
        <v>314</v>
      </c>
      <c r="C123" s="3" t="s">
        <v>315</v>
      </c>
      <c r="D123" s="3" t="s">
        <v>316</v>
      </c>
      <c r="E123" s="4">
        <v>9.805885012E9</v>
      </c>
      <c r="F123" s="3">
        <v>300.0</v>
      </c>
      <c r="G123" s="4">
        <v>1300.0</v>
      </c>
      <c r="H123" s="4">
        <v>82.25</v>
      </c>
      <c r="I123" s="5" t="s">
        <v>13</v>
      </c>
      <c r="J123" s="2">
        <v>45807.33319444444</v>
      </c>
    </row>
    <row r="124" ht="22.5" customHeight="1">
      <c r="A124" s="2">
        <v>45785.08931712963</v>
      </c>
      <c r="B124" s="3" t="s">
        <v>317</v>
      </c>
      <c r="C124" s="3" t="s">
        <v>318</v>
      </c>
      <c r="D124" s="3" t="s">
        <v>319</v>
      </c>
      <c r="E124" s="4">
        <v>9.704578101E9</v>
      </c>
      <c r="F124" s="3">
        <v>200.0</v>
      </c>
      <c r="G124" s="4">
        <v>1200.0</v>
      </c>
      <c r="H124" s="4">
        <v>3.0</v>
      </c>
      <c r="I124" s="5" t="s">
        <v>13</v>
      </c>
      <c r="J124" s="2">
        <v>45786.363078703704</v>
      </c>
    </row>
    <row r="125" ht="22.5" customHeight="1">
      <c r="A125" s="2">
        <v>45785.08814814815</v>
      </c>
      <c r="B125" s="3" t="s">
        <v>320</v>
      </c>
      <c r="C125" s="3" t="s">
        <v>321</v>
      </c>
      <c r="D125" s="3" t="s">
        <v>322</v>
      </c>
      <c r="E125" s="4">
        <v>9.708876627E9</v>
      </c>
      <c r="F125" s="3">
        <v>200.0</v>
      </c>
      <c r="G125" s="4">
        <v>1200.0</v>
      </c>
      <c r="H125" s="4">
        <v>3.0</v>
      </c>
      <c r="I125" s="5" t="s">
        <v>13</v>
      </c>
      <c r="J125" s="2">
        <v>45790.40101851852</v>
      </c>
    </row>
    <row r="126" ht="22.5" customHeight="1">
      <c r="A126" s="2">
        <v>45782.22554398148</v>
      </c>
      <c r="B126" s="3" t="s">
        <v>323</v>
      </c>
      <c r="C126" s="3" t="s">
        <v>324</v>
      </c>
      <c r="D126" s="3" t="s">
        <v>325</v>
      </c>
      <c r="E126" s="4">
        <v>9.813149928E9</v>
      </c>
      <c r="F126" s="3">
        <v>400.0</v>
      </c>
      <c r="G126" s="4">
        <v>2400.0</v>
      </c>
      <c r="H126" s="4">
        <v>6.0</v>
      </c>
      <c r="I126" s="5" t="s">
        <v>13</v>
      </c>
      <c r="J126" s="2">
        <v>45783.21871527778</v>
      </c>
    </row>
    <row r="127" ht="22.5" customHeight="1">
      <c r="A127" s="2">
        <v>45782.19495370371</v>
      </c>
      <c r="B127" s="3" t="s">
        <v>326</v>
      </c>
      <c r="C127" s="3" t="s">
        <v>327</v>
      </c>
      <c r="D127" s="3" t="s">
        <v>328</v>
      </c>
      <c r="E127" s="4">
        <v>9.709300431E9</v>
      </c>
      <c r="F127" s="3">
        <v>200.0</v>
      </c>
      <c r="G127" s="4">
        <v>1200.0</v>
      </c>
      <c r="H127" s="4">
        <v>3.0</v>
      </c>
      <c r="I127" s="5" t="s">
        <v>13</v>
      </c>
      <c r="J127" s="2">
        <v>45782.53430555556</v>
      </c>
    </row>
    <row r="128" ht="22.5" customHeight="1">
      <c r="A128" s="2">
        <v>45782.15113425926</v>
      </c>
      <c r="B128" s="3" t="s">
        <v>329</v>
      </c>
      <c r="C128" s="3" t="s">
        <v>330</v>
      </c>
      <c r="D128" s="3" t="s">
        <v>331</v>
      </c>
      <c r="E128" s="4">
        <v>9.807919104E9</v>
      </c>
      <c r="F128" s="3">
        <v>200.0</v>
      </c>
      <c r="G128" s="4">
        <v>1200.0</v>
      </c>
      <c r="H128" s="4">
        <v>3.0</v>
      </c>
      <c r="I128" s="5" t="s">
        <v>13</v>
      </c>
      <c r="J128" s="2">
        <v>45785.47127314815</v>
      </c>
    </row>
    <row r="129" ht="22.5" customHeight="1">
      <c r="A129" s="2">
        <v>45782.14842592592</v>
      </c>
      <c r="B129" s="3" t="s">
        <v>332</v>
      </c>
      <c r="C129" s="3" t="s">
        <v>333</v>
      </c>
      <c r="D129" s="3" t="s">
        <v>334</v>
      </c>
      <c r="E129" s="4">
        <v>9.741759216E9</v>
      </c>
      <c r="F129" s="3">
        <v>400.0</v>
      </c>
      <c r="G129" s="4">
        <v>2400.0</v>
      </c>
      <c r="H129" s="4">
        <v>6.0</v>
      </c>
      <c r="I129" s="5" t="s">
        <v>13</v>
      </c>
      <c r="J129" s="2">
        <v>45783.400925925926</v>
      </c>
    </row>
    <row r="130" ht="22.5" customHeight="1">
      <c r="A130" s="2">
        <v>45781.224583333336</v>
      </c>
      <c r="B130" s="3" t="s">
        <v>335</v>
      </c>
      <c r="C130" s="3" t="s">
        <v>11</v>
      </c>
      <c r="D130" s="3" t="s">
        <v>336</v>
      </c>
      <c r="E130" s="4">
        <v>9.84940118E9</v>
      </c>
      <c r="F130" s="3">
        <v>600.0</v>
      </c>
      <c r="G130" s="4">
        <v>1200.0</v>
      </c>
      <c r="H130" s="4">
        <v>3.0</v>
      </c>
      <c r="I130" s="5" t="s">
        <v>13</v>
      </c>
      <c r="J130" s="2">
        <v>45783.40699074074</v>
      </c>
    </row>
    <row r="131" ht="22.5" customHeight="1">
      <c r="A131" s="2">
        <v>45781.12383101852</v>
      </c>
      <c r="B131" s="3" t="s">
        <v>337</v>
      </c>
      <c r="C131" s="3" t="s">
        <v>324</v>
      </c>
      <c r="D131" s="3" t="s">
        <v>338</v>
      </c>
      <c r="E131" s="4">
        <v>9.813149928E9</v>
      </c>
      <c r="F131" s="3">
        <v>0.0</v>
      </c>
      <c r="G131" s="4">
        <v>0.0</v>
      </c>
      <c r="H131" s="4">
        <v>0.0</v>
      </c>
      <c r="I131" s="5" t="s">
        <v>13</v>
      </c>
      <c r="J131" s="2">
        <v>45781.425162037034</v>
      </c>
    </row>
    <row r="132" ht="22.5" customHeight="1">
      <c r="A132" s="2">
        <v>45780.744039351855</v>
      </c>
      <c r="B132" s="3" t="s">
        <v>339</v>
      </c>
      <c r="C132" s="3" t="s">
        <v>321</v>
      </c>
      <c r="D132" s="3" t="s">
        <v>322</v>
      </c>
      <c r="E132" s="4">
        <v>9.708876627E9</v>
      </c>
      <c r="F132" s="3">
        <v>200.0</v>
      </c>
      <c r="G132" s="4">
        <v>1200.0</v>
      </c>
      <c r="H132" s="4">
        <v>3.0</v>
      </c>
      <c r="I132" s="5" t="s">
        <v>13</v>
      </c>
      <c r="J132" s="2">
        <v>45785.370405092595</v>
      </c>
    </row>
    <row r="133" ht="22.5" customHeight="1">
      <c r="A133" s="2">
        <v>45780.73918981481</v>
      </c>
      <c r="B133" s="3" t="s">
        <v>340</v>
      </c>
      <c r="C133" s="3" t="s">
        <v>341</v>
      </c>
      <c r="D133" s="3" t="s">
        <v>342</v>
      </c>
      <c r="E133" s="4">
        <v>9.801235556E9</v>
      </c>
      <c r="F133" s="3">
        <v>600.0</v>
      </c>
      <c r="G133" s="4">
        <v>1200.0</v>
      </c>
      <c r="H133" s="4">
        <v>3.0</v>
      </c>
      <c r="I133" s="5" t="s">
        <v>286</v>
      </c>
      <c r="J133" s="2">
        <v>45782.28328703704</v>
      </c>
    </row>
    <row r="134" ht="22.5" customHeight="1">
      <c r="A134" s="2">
        <v>45780.16887731481</v>
      </c>
      <c r="B134" s="3" t="s">
        <v>343</v>
      </c>
      <c r="C134" s="3" t="s">
        <v>344</v>
      </c>
      <c r="D134" s="3" t="s">
        <v>345</v>
      </c>
      <c r="E134" s="4">
        <v>9.844821643E9</v>
      </c>
      <c r="F134" s="3">
        <v>600.0</v>
      </c>
      <c r="G134" s="4">
        <v>1200.0</v>
      </c>
      <c r="H134" s="4">
        <v>3.0</v>
      </c>
      <c r="I134" s="5" t="s">
        <v>13</v>
      </c>
      <c r="J134" s="2">
        <v>45783.40759259259</v>
      </c>
    </row>
    <row r="135" ht="22.5" customHeight="1">
      <c r="A135" s="2">
        <v>45780.13763888889</v>
      </c>
      <c r="B135" s="3" t="s">
        <v>346</v>
      </c>
      <c r="C135" s="3" t="s">
        <v>347</v>
      </c>
      <c r="D135" s="3" t="s">
        <v>348</v>
      </c>
      <c r="E135" s="4">
        <v>9.808462623E9</v>
      </c>
      <c r="F135" s="3">
        <v>200.0</v>
      </c>
      <c r="G135" s="4">
        <v>1200.0</v>
      </c>
      <c r="H135" s="4">
        <v>3.0</v>
      </c>
      <c r="I135" s="5" t="s">
        <v>13</v>
      </c>
      <c r="J135" s="2">
        <v>45780.549363425926</v>
      </c>
    </row>
    <row r="136" ht="22.5" customHeight="1">
      <c r="A136" s="2">
        <v>45779.77135416667</v>
      </c>
      <c r="B136" s="3" t="s">
        <v>349</v>
      </c>
      <c r="C136" s="3" t="s">
        <v>350</v>
      </c>
      <c r="D136" s="3" t="s">
        <v>351</v>
      </c>
      <c r="E136" s="4">
        <v>9.844112221E9</v>
      </c>
      <c r="F136" s="3">
        <v>400.0</v>
      </c>
      <c r="G136" s="4">
        <v>2400.0</v>
      </c>
      <c r="H136" s="4">
        <v>6.0</v>
      </c>
      <c r="I136" s="5" t="s">
        <v>13</v>
      </c>
      <c r="J136" s="2">
        <v>45788.653715277775</v>
      </c>
    </row>
    <row r="137" ht="22.5" customHeight="1">
      <c r="A137" s="2">
        <v>45779.76646990741</v>
      </c>
      <c r="B137" s="3" t="s">
        <v>352</v>
      </c>
      <c r="C137" s="3" t="s">
        <v>324</v>
      </c>
      <c r="D137" s="3" t="s">
        <v>353</v>
      </c>
      <c r="E137" s="4">
        <v>9.813149928E9</v>
      </c>
      <c r="F137" s="3">
        <v>400.0</v>
      </c>
      <c r="G137" s="4">
        <v>2400.0</v>
      </c>
      <c r="H137" s="4">
        <v>6.0</v>
      </c>
      <c r="I137" s="5" t="s">
        <v>13</v>
      </c>
      <c r="J137" s="2">
        <v>45781.421435185184</v>
      </c>
    </row>
    <row r="138" ht="22.5" customHeight="1">
      <c r="A138" s="2">
        <v>45778.757893518516</v>
      </c>
      <c r="B138" s="3" t="s">
        <v>354</v>
      </c>
      <c r="C138" s="3" t="s">
        <v>355</v>
      </c>
      <c r="D138" s="3" t="s">
        <v>356</v>
      </c>
      <c r="E138" s="4">
        <v>9.845832687E9</v>
      </c>
      <c r="F138" s="3">
        <v>200.0</v>
      </c>
      <c r="G138" s="4">
        <v>1200.0</v>
      </c>
      <c r="H138" s="4">
        <v>3.0</v>
      </c>
      <c r="I138" s="5" t="s">
        <v>13</v>
      </c>
      <c r="J138" s="2">
        <v>45779.457141203704</v>
      </c>
    </row>
    <row r="139" ht="22.5" customHeight="1">
      <c r="A139" s="2">
        <v>45778.75530092593</v>
      </c>
      <c r="B139" s="3" t="s">
        <v>357</v>
      </c>
      <c r="C139" s="3" t="s">
        <v>358</v>
      </c>
      <c r="D139" s="3" t="s">
        <v>359</v>
      </c>
      <c r="E139" s="4">
        <v>9.802756333E9</v>
      </c>
      <c r="F139" s="3">
        <v>200.0</v>
      </c>
      <c r="G139" s="4">
        <v>1200.0</v>
      </c>
      <c r="H139" s="4">
        <v>3.0</v>
      </c>
      <c r="I139" s="5" t="s">
        <v>13</v>
      </c>
      <c r="J139" s="2">
        <v>45782.23881944444</v>
      </c>
    </row>
    <row r="140" ht="22.5" customHeight="1">
      <c r="A140" s="2">
        <v>45778.727476851855</v>
      </c>
      <c r="B140" s="3" t="s">
        <v>360</v>
      </c>
      <c r="C140" s="3" t="s">
        <v>361</v>
      </c>
      <c r="D140" s="3" t="s">
        <v>362</v>
      </c>
      <c r="E140" s="4">
        <v>9.769477499E9</v>
      </c>
      <c r="F140" s="3">
        <v>400.0</v>
      </c>
      <c r="G140" s="4">
        <v>2400.0</v>
      </c>
      <c r="H140" s="4">
        <v>6.0</v>
      </c>
      <c r="I140" s="5" t="s">
        <v>13</v>
      </c>
      <c r="J140" s="2">
        <v>45783.272986111115</v>
      </c>
    </row>
    <row r="141" ht="22.5" customHeight="1">
      <c r="A141" s="2">
        <v>45777.78221064815</v>
      </c>
      <c r="B141" s="3" t="s">
        <v>363</v>
      </c>
      <c r="C141" s="3" t="s">
        <v>364</v>
      </c>
      <c r="D141" s="3" t="s">
        <v>365</v>
      </c>
      <c r="E141" s="4">
        <v>9.767221994E9</v>
      </c>
      <c r="F141" s="3">
        <v>200.0</v>
      </c>
      <c r="G141" s="4">
        <v>0.0</v>
      </c>
      <c r="H141" s="4">
        <v>3.0</v>
      </c>
      <c r="I141" s="5" t="s">
        <v>107</v>
      </c>
      <c r="J141" s="2">
        <v>45778.187685185185</v>
      </c>
    </row>
    <row r="142" ht="22.5" customHeight="1">
      <c r="A142" s="2">
        <v>45777.779131944444</v>
      </c>
      <c r="B142" s="3" t="s">
        <v>366</v>
      </c>
      <c r="C142" s="3" t="s">
        <v>367</v>
      </c>
      <c r="D142" s="3" t="s">
        <v>368</v>
      </c>
      <c r="E142" s="4">
        <v>9.844942842E9</v>
      </c>
      <c r="F142" s="3">
        <v>200.0</v>
      </c>
      <c r="G142" s="4">
        <v>1200.0</v>
      </c>
      <c r="H142" s="4">
        <v>3.0</v>
      </c>
      <c r="I142" s="5" t="s">
        <v>13</v>
      </c>
      <c r="J142" s="2">
        <v>45779.30043981481</v>
      </c>
    </row>
    <row r="143" ht="22.5" customHeight="1">
      <c r="A143" s="2">
        <v>45777.771006944444</v>
      </c>
      <c r="B143" s="3" t="s">
        <v>369</v>
      </c>
      <c r="C143" s="3" t="s">
        <v>370</v>
      </c>
      <c r="D143" s="3" t="s">
        <v>371</v>
      </c>
      <c r="E143" s="4">
        <v>9.702238371E9</v>
      </c>
      <c r="F143" s="3">
        <v>200.0</v>
      </c>
      <c r="G143" s="4">
        <v>1200.0</v>
      </c>
      <c r="H143" s="4">
        <v>3.0</v>
      </c>
      <c r="I143" s="5" t="s">
        <v>13</v>
      </c>
      <c r="J143" s="2">
        <v>45781.30608796296</v>
      </c>
    </row>
    <row r="144" ht="22.5" customHeight="1">
      <c r="A144" s="2">
        <v>45777.76733796296</v>
      </c>
      <c r="B144" s="3" t="s">
        <v>372</v>
      </c>
      <c r="C144" s="3" t="s">
        <v>373</v>
      </c>
      <c r="D144" s="3" t="s">
        <v>374</v>
      </c>
      <c r="E144" s="4">
        <v>9.749497208E9</v>
      </c>
      <c r="F144" s="3">
        <v>600.0</v>
      </c>
      <c r="G144" s="4">
        <v>1200.0</v>
      </c>
      <c r="H144" s="4">
        <v>3.0</v>
      </c>
      <c r="I144" s="5" t="s">
        <v>13</v>
      </c>
      <c r="J144" s="2">
        <v>45778.523043981484</v>
      </c>
    </row>
    <row r="145" ht="22.5" customHeight="1">
      <c r="A145" s="2">
        <v>45777.762094907404</v>
      </c>
      <c r="B145" s="3" t="s">
        <v>375</v>
      </c>
      <c r="C145" s="3" t="s">
        <v>376</v>
      </c>
      <c r="D145" s="3" t="s">
        <v>377</v>
      </c>
      <c r="E145" s="4">
        <v>9.825916654E9</v>
      </c>
      <c r="F145" s="3">
        <v>600.0</v>
      </c>
      <c r="G145" s="4">
        <v>1200.0</v>
      </c>
      <c r="H145" s="4">
        <v>3.0</v>
      </c>
      <c r="I145" s="5" t="s">
        <v>13</v>
      </c>
      <c r="J145" s="2">
        <v>45779.482083333336</v>
      </c>
    </row>
    <row r="146" ht="22.5" customHeight="1">
      <c r="A146" s="2">
        <v>45777.76033564815</v>
      </c>
      <c r="B146" s="3" t="s">
        <v>378</v>
      </c>
      <c r="C146" s="3" t="s">
        <v>379</v>
      </c>
      <c r="D146" s="3" t="s">
        <v>380</v>
      </c>
      <c r="E146" s="4">
        <v>9.820102563E9</v>
      </c>
      <c r="F146" s="3">
        <v>200.0</v>
      </c>
      <c r="G146" s="4">
        <v>1200.0</v>
      </c>
      <c r="H146" s="4">
        <v>3.0</v>
      </c>
      <c r="I146" s="5" t="s">
        <v>13</v>
      </c>
      <c r="J146" s="2">
        <v>45780.37699074074</v>
      </c>
    </row>
    <row r="147" ht="22.5" customHeight="1">
      <c r="A147" s="2">
        <v>45777.20144675926</v>
      </c>
      <c r="B147" s="3" t="s">
        <v>381</v>
      </c>
      <c r="C147" s="3" t="s">
        <v>382</v>
      </c>
      <c r="D147" s="3" t="s">
        <v>383</v>
      </c>
      <c r="E147" s="4">
        <v>9.825917835E9</v>
      </c>
      <c r="F147" s="3">
        <v>600.0</v>
      </c>
      <c r="G147" s="4">
        <v>1200.0</v>
      </c>
      <c r="H147" s="4">
        <v>3.0</v>
      </c>
      <c r="I147" s="5" t="s">
        <v>13</v>
      </c>
      <c r="J147" s="2">
        <v>45780.44793981482</v>
      </c>
    </row>
    <row r="148" ht="22.5" customHeight="1">
      <c r="A148" s="2">
        <v>45777.19584490741</v>
      </c>
      <c r="B148" s="3" t="s">
        <v>384</v>
      </c>
      <c r="C148" s="3" t="s">
        <v>385</v>
      </c>
      <c r="D148" s="3" t="s">
        <v>386</v>
      </c>
      <c r="E148" s="4">
        <v>9.811195106E9</v>
      </c>
      <c r="F148" s="3">
        <v>600.0</v>
      </c>
      <c r="G148" s="4">
        <v>1200.0</v>
      </c>
      <c r="H148" s="4">
        <v>3.0</v>
      </c>
      <c r="I148" s="5" t="s">
        <v>13</v>
      </c>
      <c r="J148" s="2">
        <v>45777.42673611111</v>
      </c>
    </row>
    <row r="149" ht="22.5" customHeight="1">
      <c r="A149" s="2">
        <v>45776.792719907404</v>
      </c>
      <c r="B149" s="3" t="s">
        <v>387</v>
      </c>
      <c r="C149" s="3" t="s">
        <v>388</v>
      </c>
      <c r="D149" s="3" t="s">
        <v>389</v>
      </c>
      <c r="E149" s="4">
        <v>9.767006129E9</v>
      </c>
      <c r="F149" s="3">
        <v>700.0</v>
      </c>
      <c r="G149" s="4">
        <v>2400.0</v>
      </c>
      <c r="H149" s="4">
        <v>6.0</v>
      </c>
      <c r="I149" s="5" t="s">
        <v>13</v>
      </c>
      <c r="J149" s="2">
        <v>45779.3908912037</v>
      </c>
    </row>
    <row r="150" ht="22.5" customHeight="1">
      <c r="A150" s="2">
        <v>45776.7228125</v>
      </c>
      <c r="B150" s="3" t="s">
        <v>390</v>
      </c>
      <c r="C150" s="3" t="s">
        <v>391</v>
      </c>
      <c r="D150" s="3" t="s">
        <v>392</v>
      </c>
      <c r="E150" s="4">
        <v>9.807479966E9</v>
      </c>
      <c r="F150" s="3">
        <v>200.0</v>
      </c>
      <c r="G150" s="4">
        <v>1200.0</v>
      </c>
      <c r="H150" s="4">
        <v>3.0</v>
      </c>
      <c r="I150" s="5" t="s">
        <v>13</v>
      </c>
      <c r="J150" s="2">
        <v>45781.35251157408</v>
      </c>
    </row>
    <row r="151" ht="22.5" customHeight="1">
      <c r="A151" s="2">
        <v>45776.71875</v>
      </c>
      <c r="B151" s="3" t="s">
        <v>393</v>
      </c>
      <c r="C151" s="3" t="s">
        <v>394</v>
      </c>
      <c r="D151" s="3" t="s">
        <v>395</v>
      </c>
      <c r="E151" s="4">
        <v>9.804842819E9</v>
      </c>
      <c r="F151" s="3">
        <v>500.0</v>
      </c>
      <c r="G151" s="4">
        <v>1500.0</v>
      </c>
      <c r="H151" s="4">
        <v>3.75</v>
      </c>
      <c r="I151" s="5" t="s">
        <v>13</v>
      </c>
      <c r="J151" s="2">
        <v>45777.47929398148</v>
      </c>
    </row>
    <row r="152" ht="22.5" customHeight="1">
      <c r="A152" s="2">
        <v>45776.71548611111</v>
      </c>
      <c r="B152" s="3" t="s">
        <v>396</v>
      </c>
      <c r="C152" s="3" t="s">
        <v>397</v>
      </c>
      <c r="D152" s="3" t="s">
        <v>398</v>
      </c>
      <c r="E152" s="4">
        <v>9.862720339E9</v>
      </c>
      <c r="F152" s="3">
        <v>200.0</v>
      </c>
      <c r="G152" s="4">
        <v>1200.0</v>
      </c>
      <c r="H152" s="4">
        <v>3.0</v>
      </c>
      <c r="I152" s="5" t="s">
        <v>13</v>
      </c>
      <c r="J152" s="2">
        <v>45781.37578703704</v>
      </c>
    </row>
    <row r="153" ht="22.5" customHeight="1">
      <c r="A153" s="2">
        <v>45776.71030092592</v>
      </c>
      <c r="B153" s="3" t="s">
        <v>399</v>
      </c>
      <c r="C153" s="3" t="s">
        <v>400</v>
      </c>
      <c r="D153" s="3" t="s">
        <v>401</v>
      </c>
      <c r="E153" s="4">
        <v>9.800943313E9</v>
      </c>
      <c r="F153" s="3">
        <v>800.0</v>
      </c>
      <c r="G153" s="4">
        <v>2400.0</v>
      </c>
      <c r="H153" s="4">
        <v>6.0</v>
      </c>
      <c r="I153" s="5" t="s">
        <v>13</v>
      </c>
      <c r="J153" s="2">
        <v>45778.34921296296</v>
      </c>
    </row>
    <row r="154" ht="22.5" customHeight="1">
      <c r="A154" s="2">
        <v>45767.60923611111</v>
      </c>
      <c r="B154" s="3" t="s">
        <v>402</v>
      </c>
      <c r="C154" s="3" t="s">
        <v>403</v>
      </c>
      <c r="D154" s="3" t="s">
        <v>404</v>
      </c>
      <c r="E154" s="4">
        <v>9.860286662E9</v>
      </c>
      <c r="F154" s="3">
        <v>300.0</v>
      </c>
      <c r="G154" s="4">
        <v>1600.0</v>
      </c>
      <c r="H154" s="4">
        <v>4.0</v>
      </c>
      <c r="I154" s="5" t="s">
        <v>13</v>
      </c>
      <c r="J154" s="2">
        <v>45771.202835648146</v>
      </c>
    </row>
    <row r="155" ht="22.5" customHeight="1">
      <c r="A155" s="2">
        <v>45767.1827662037</v>
      </c>
      <c r="B155" s="3" t="s">
        <v>405</v>
      </c>
      <c r="C155" s="3" t="s">
        <v>406</v>
      </c>
      <c r="D155" s="3" t="s">
        <v>407</v>
      </c>
      <c r="E155" s="4">
        <v>9.840355958E9</v>
      </c>
      <c r="F155" s="3">
        <v>800.0</v>
      </c>
      <c r="G155" s="4">
        <v>3000.0</v>
      </c>
      <c r="H155" s="4">
        <v>7.5</v>
      </c>
      <c r="I155" s="5" t="s">
        <v>13</v>
      </c>
      <c r="J155" s="2">
        <v>45767.48459490741</v>
      </c>
    </row>
    <row r="156" ht="22.5" customHeight="1">
      <c r="A156" s="2">
        <v>45766.289513888885</v>
      </c>
      <c r="B156" s="3" t="s">
        <v>408</v>
      </c>
      <c r="C156" s="3" t="s">
        <v>409</v>
      </c>
      <c r="D156" s="3" t="s">
        <v>410</v>
      </c>
      <c r="E156" s="4">
        <v>9.742373745E9</v>
      </c>
      <c r="F156" s="3">
        <v>400.0</v>
      </c>
      <c r="G156" s="4">
        <v>2100.0</v>
      </c>
      <c r="H156" s="4">
        <v>5.25</v>
      </c>
      <c r="I156" s="5" t="s">
        <v>13</v>
      </c>
      <c r="J156" s="2">
        <v>45769.41127314815</v>
      </c>
    </row>
    <row r="157" ht="22.5" customHeight="1">
      <c r="A157" s="2">
        <v>45766.135671296295</v>
      </c>
      <c r="B157" s="3" t="s">
        <v>411</v>
      </c>
      <c r="C157" s="3" t="s">
        <v>412</v>
      </c>
      <c r="D157" s="3" t="s">
        <v>413</v>
      </c>
      <c r="E157" s="4">
        <v>9.807976364E9</v>
      </c>
      <c r="F157" s="3">
        <v>500.0</v>
      </c>
      <c r="G157" s="4">
        <v>1500.0</v>
      </c>
      <c r="H157" s="4">
        <v>3.75</v>
      </c>
      <c r="I157" s="5" t="s">
        <v>13</v>
      </c>
      <c r="J157" s="2">
        <v>45770.35300925926</v>
      </c>
    </row>
    <row r="158" ht="22.5" customHeight="1">
      <c r="A158" s="2">
        <v>45762.70302083333</v>
      </c>
      <c r="B158" s="3" t="s">
        <v>414</v>
      </c>
      <c r="C158" s="3" t="s">
        <v>415</v>
      </c>
      <c r="D158" s="3" t="s">
        <v>416</v>
      </c>
      <c r="E158" s="4">
        <v>9.817139815E9</v>
      </c>
      <c r="F158" s="3">
        <v>500.0</v>
      </c>
      <c r="G158" s="4">
        <v>1350.0</v>
      </c>
      <c r="H158" s="4">
        <v>3.38</v>
      </c>
      <c r="I158" s="5" t="s">
        <v>13</v>
      </c>
      <c r="J158" s="2">
        <v>45765.40896990741</v>
      </c>
    </row>
    <row r="159" ht="22.5" customHeight="1">
      <c r="A159" s="2">
        <v>45762.09135416667</v>
      </c>
      <c r="B159" s="3" t="s">
        <v>417</v>
      </c>
      <c r="C159" s="3" t="s">
        <v>418</v>
      </c>
      <c r="D159" s="3" t="s">
        <v>419</v>
      </c>
      <c r="E159" s="4">
        <v>9.808333543E9</v>
      </c>
      <c r="F159" s="3">
        <v>400.0</v>
      </c>
      <c r="G159" s="4">
        <v>1300.0</v>
      </c>
      <c r="H159" s="4">
        <v>3.25</v>
      </c>
      <c r="I159" s="5" t="s">
        <v>13</v>
      </c>
      <c r="J159" s="2">
        <v>45762.478483796294</v>
      </c>
    </row>
    <row r="160" ht="22.5" customHeight="1">
      <c r="A160" s="2">
        <v>45761.5128125</v>
      </c>
      <c r="B160" s="3" t="s">
        <v>420</v>
      </c>
      <c r="C160" s="3" t="s">
        <v>229</v>
      </c>
      <c r="D160" s="3" t="s">
        <v>421</v>
      </c>
      <c r="E160" s="4">
        <v>9.749878703E9</v>
      </c>
      <c r="F160" s="3">
        <v>500.0</v>
      </c>
      <c r="G160" s="4">
        <v>1500.0</v>
      </c>
      <c r="H160" s="4">
        <v>3.75</v>
      </c>
      <c r="I160" s="5" t="s">
        <v>13</v>
      </c>
      <c r="J160" s="2">
        <v>45763.31940972222</v>
      </c>
    </row>
    <row r="161" ht="22.5" customHeight="1">
      <c r="A161" s="6">
        <f>'return order'!A2</f>
        <v>45894.19544</v>
      </c>
      <c r="B161" s="7" t="str">
        <f>'return order'!B2</f>
        <v>Brown Nike 40</v>
      </c>
      <c r="C161" s="7" t="str">
        <f>'return order'!C2</f>
        <v>Aashish Thakuri</v>
      </c>
      <c r="D161" s="7" t="str">
        <f>'return order'!D2</f>
        <v>Dang, lamahi bazzar</v>
      </c>
      <c r="E161" s="8">
        <f>'return order'!E2</f>
        <v>9749766969</v>
      </c>
      <c r="F161" s="7">
        <v>0.0</v>
      </c>
      <c r="G161" s="8">
        <f t="array" ref="G161">XLOOKUP(C161, 'return order'!$C$2:$C$29, 'return order'!$F$2:$F$29, 0)</f>
        <v>1350</v>
      </c>
      <c r="H161" s="8">
        <f>'return order'!G2</f>
        <v>161.5</v>
      </c>
      <c r="I161" s="9" t="str">
        <f>'return order'!I2</f>
        <v>Return</v>
      </c>
      <c r="J161" s="6">
        <f>'return order'!K2</f>
        <v>45898.34896</v>
      </c>
    </row>
    <row r="162" ht="22.5" customHeight="1">
      <c r="A162" s="6">
        <f>'return order'!A3</f>
        <v>45893.18367</v>
      </c>
      <c r="B162" s="7" t="str">
        <f>'return order'!B3</f>
        <v>Utsav 41</v>
      </c>
      <c r="C162" s="7" t="str">
        <f>'return order'!C3</f>
        <v>Janak Karki</v>
      </c>
      <c r="D162" s="7" t="str">
        <f>'return order'!D3</f>
        <v>Dailekh, dullu nagarpalika ward 4, bhandari ghau </v>
      </c>
      <c r="E162" s="8">
        <f>'return order'!E3</f>
        <v>9803727667</v>
      </c>
      <c r="F162" s="7">
        <v>0.0</v>
      </c>
      <c r="G162" s="8">
        <f t="array" ref="G162">XLOOKUP(C162, 'return order'!$C$2:$C$29, 'return order'!$F$2:$F$29, 0)</f>
        <v>1350</v>
      </c>
      <c r="H162" s="8">
        <f>'return order'!G3</f>
        <v>187</v>
      </c>
      <c r="I162" s="9" t="str">
        <f>'return order'!I3</f>
        <v>Return</v>
      </c>
      <c r="J162" s="6">
        <f>'return order'!K3</f>
        <v>45900.38528</v>
      </c>
    </row>
    <row r="163" ht="22.5" customHeight="1">
      <c r="A163" s="6">
        <f>'return order'!A4</f>
        <v>45893.18243</v>
      </c>
      <c r="B163" s="7" t="str">
        <f>'return order'!B4</f>
        <v>White Nike 42</v>
      </c>
      <c r="C163" s="7" t="str">
        <f>'return order'!C4</f>
        <v>Sushi Yogi</v>
      </c>
      <c r="D163" s="7" t="str">
        <f>'return order'!D4</f>
        <v>Tokha, chandeswari </v>
      </c>
      <c r="E163" s="8">
        <f>'return order'!E4</f>
        <v>9829685117</v>
      </c>
      <c r="F163" s="7">
        <v>0.0</v>
      </c>
      <c r="G163" s="8">
        <f t="array" ref="G163">XLOOKUP(C163, 'return order'!$C$2:$C$29, 'return order'!$F$2:$F$29, 0)</f>
        <v>1300</v>
      </c>
      <c r="H163" s="8">
        <f>'return order'!G4</f>
        <v>30</v>
      </c>
      <c r="I163" s="9" t="str">
        <f>'return order'!I4</f>
        <v>Return</v>
      </c>
      <c r="J163" s="6">
        <f>'return order'!K4</f>
        <v>45895.51203</v>
      </c>
    </row>
    <row r="164" ht="22.5" customHeight="1">
      <c r="A164" s="6">
        <f>'return order'!A5</f>
        <v>45891.18925</v>
      </c>
      <c r="B164" s="7" t="str">
        <f>'return order'!B5</f>
        <v>Red Nike 42</v>
      </c>
      <c r="C164" s="7" t="str">
        <f>'return order'!C5</f>
        <v>Krishna Saud</v>
      </c>
      <c r="D164" s="7" t="str">
        <f>'return order'!D5</f>
        <v>Kailali, lamki</v>
      </c>
      <c r="E164" s="8">
        <f>'return order'!E5</f>
        <v>9862054261</v>
      </c>
      <c r="F164" s="7">
        <v>0.0</v>
      </c>
      <c r="G164" s="8">
        <f t="array" ref="G164">XLOOKUP(C164, 'return order'!$C$2:$C$29, 'return order'!$F$2:$F$29, 0)</f>
        <v>1350</v>
      </c>
      <c r="H164" s="8">
        <f>'return order'!G5</f>
        <v>187</v>
      </c>
      <c r="I164" s="9" t="str">
        <f>'return order'!I5</f>
        <v>Return</v>
      </c>
      <c r="J164" s="6">
        <f>'return order'!K5</f>
        <v>45898.33794</v>
      </c>
    </row>
    <row r="165" ht="22.5" customHeight="1">
      <c r="A165" s="6">
        <f>'return order'!A6</f>
        <v>45891.18836</v>
      </c>
      <c r="B165" s="7" t="str">
        <f>'return order'!B6</f>
        <v>Martin 3 sole 40</v>
      </c>
      <c r="C165" s="7" t="str">
        <f>'return order'!C6</f>
        <v>Magar Samuyal</v>
      </c>
      <c r="D165" s="7" t="str">
        <f>'return order'!D6</f>
        <v>Dailey Jilla, dullu gaupalika </v>
      </c>
      <c r="E165" s="8">
        <f>'return order'!E6</f>
        <v>9700989853</v>
      </c>
      <c r="F165" s="7">
        <v>0.0</v>
      </c>
      <c r="G165" s="8">
        <f t="array" ref="G165">XLOOKUP(C165, 'return order'!$C$2:$C$29, 'return order'!$F$2:$F$29, 0)</f>
        <v>1550</v>
      </c>
      <c r="H165" s="8">
        <f>'return order'!G6</f>
        <v>187</v>
      </c>
      <c r="I165" s="9" t="str">
        <f>'return order'!I6</f>
        <v>Return</v>
      </c>
      <c r="J165" s="6">
        <f>'return order'!K6</f>
        <v>45897.43603</v>
      </c>
    </row>
    <row r="166" ht="22.5" customHeight="1">
      <c r="A166" s="6">
        <f>'return order'!A7</f>
        <v>45890.18244</v>
      </c>
      <c r="B166" s="7" t="str">
        <f>'return order'!B7</f>
        <v>Red Nike and smile 40</v>
      </c>
      <c r="C166" s="7" t="str">
        <f>'return order'!C7</f>
        <v>Abhishek Rana Magar</v>
      </c>
      <c r="D166" s="7" t="str">
        <f>'return order'!D7</f>
        <v>Okhaldunga, manebhanjyang view</v>
      </c>
      <c r="E166" s="8">
        <f>'return order'!E7</f>
        <v>9767194547</v>
      </c>
      <c r="F166" s="7">
        <v>0.0</v>
      </c>
      <c r="G166" s="8">
        <f t="array" ref="G166">XLOOKUP(C166, 'return order'!$C$2:$C$29, 'return order'!$F$2:$F$29, 0)</f>
        <v>2650</v>
      </c>
      <c r="H166" s="8">
        <f>'return order'!G7</f>
        <v>187</v>
      </c>
      <c r="I166" s="9" t="str">
        <f>'return order'!I7</f>
        <v>Return</v>
      </c>
      <c r="J166" s="6">
        <f>'return order'!K7</f>
        <v>45901.34286</v>
      </c>
    </row>
    <row r="167" ht="22.5" customHeight="1">
      <c r="A167" s="6">
        <f>'return order'!A8</f>
        <v>45890.17998</v>
      </c>
      <c r="B167" s="7" t="str">
        <f>'return order'!B8</f>
        <v>Chelsea and black Nike 40</v>
      </c>
      <c r="C167" s="7" t="str">
        <f>'return order'!C8</f>
        <v>Bir Tamang </v>
      </c>
      <c r="D167" s="7" t="str">
        <f>'return order'!D8</f>
        <v>Lakeside pokhara, vakunde</v>
      </c>
      <c r="E167" s="8">
        <f>'return order'!E8</f>
        <v>9700572480</v>
      </c>
      <c r="F167" s="7">
        <v>0.0</v>
      </c>
      <c r="G167" s="8">
        <f t="array" ref="G167">XLOOKUP(C167, 'return order'!$C$2:$C$29, 'return order'!$F$2:$F$29, 0)</f>
        <v>2600</v>
      </c>
      <c r="H167" s="8">
        <f>'return order'!G8</f>
        <v>144.5</v>
      </c>
      <c r="I167" s="9" t="str">
        <f>'return order'!I8</f>
        <v>Return</v>
      </c>
      <c r="J167" s="6">
        <f>'return order'!K8</f>
        <v>45896.29407</v>
      </c>
    </row>
    <row r="168" ht="22.5" customHeight="1">
      <c r="A168" s="6">
        <f>'return order'!A9</f>
        <v>45888.18644</v>
      </c>
      <c r="B168" s="7" t="str">
        <f>'return order'!B9</f>
        <v>Martin 3 sole size 40</v>
      </c>
      <c r="C168" s="7" t="str">
        <f>'return order'!C9</f>
        <v>Chom Xettry</v>
      </c>
      <c r="D168" s="7" t="str">
        <f>'return order'!D9</f>
        <v>Rolpa, sulichaur </v>
      </c>
      <c r="E168" s="8">
        <f>'return order'!E9</f>
        <v>9763886248</v>
      </c>
      <c r="F168" s="7">
        <v>0.0</v>
      </c>
      <c r="G168" s="8">
        <f t="array" ref="G168">XLOOKUP(C168, 'return order'!$C$2:$C$29, 'return order'!$F$2:$F$29, 0)</f>
        <v>1650</v>
      </c>
      <c r="H168" s="8">
        <f>'return order'!G9</f>
        <v>187</v>
      </c>
      <c r="I168" s="9" t="str">
        <f>'return order'!I9</f>
        <v>Return</v>
      </c>
      <c r="J168" s="6">
        <f>'return order'!K9</f>
        <v>45897.40978</v>
      </c>
    </row>
    <row r="169" ht="22.5" customHeight="1">
      <c r="A169" s="6">
        <f>'return order'!A10</f>
        <v>45887.1597</v>
      </c>
      <c r="B169" s="7" t="str">
        <f>'return order'!B10</f>
        <v>Sr shoes 40</v>
      </c>
      <c r="C169" s="7" t="str">
        <f>'return order'!C10</f>
        <v>Nawraj Shah</v>
      </c>
      <c r="D169" s="7" t="str">
        <f>'return order'!D10</f>
        <v>Biratnagar, new moon school ward 18</v>
      </c>
      <c r="E169" s="8">
        <f>'return order'!E10</f>
        <v>9801468689</v>
      </c>
      <c r="F169" s="7">
        <v>0.0</v>
      </c>
      <c r="G169" s="8">
        <f t="array" ref="G169">XLOOKUP(C169, 'return order'!$C$2:$C$29, 'return order'!$F$2:$F$29, 0)</f>
        <v>1300</v>
      </c>
      <c r="H169" s="8">
        <f>'return order'!G10</f>
        <v>144.5</v>
      </c>
      <c r="I169" s="9" t="str">
        <f>'return order'!I10</f>
        <v>Return</v>
      </c>
      <c r="J169" s="6">
        <f>'return order'!K10</f>
        <v>45897.21828</v>
      </c>
    </row>
    <row r="170" ht="22.5" customHeight="1">
      <c r="A170" s="6">
        <f>'return order'!A11</f>
        <v>45876.21986</v>
      </c>
      <c r="B170" s="7" t="str">
        <f>'return order'!B11</f>
        <v>35 size blue nike</v>
      </c>
      <c r="C170" s="7" t="str">
        <f>'return order'!C11</f>
        <v>Alex</v>
      </c>
      <c r="D170" s="7" t="str">
        <f>'return order'!D11</f>
        <v>rasuwa</v>
      </c>
      <c r="E170" s="8">
        <f>'return order'!E11</f>
        <v>9766461241</v>
      </c>
      <c r="F170" s="7">
        <v>0.0</v>
      </c>
      <c r="G170" s="8">
        <f t="array" ref="G170">XLOOKUP(C170, 'return order'!$C$2:$C$29, 'return order'!$F$2:$F$29, 0)</f>
        <v>1350</v>
      </c>
      <c r="H170" s="8">
        <f>'return order'!G11</f>
        <v>30</v>
      </c>
      <c r="I170" s="9" t="str">
        <f>'return order'!I11</f>
        <v>Return</v>
      </c>
      <c r="J170" s="6">
        <f>'return order'!K11</f>
        <v>45878.34396</v>
      </c>
    </row>
    <row r="171" ht="22.5" customHeight="1">
      <c r="A171" s="6">
        <f>'return order'!A12</f>
        <v>45872.17234</v>
      </c>
      <c r="B171" s="7" t="str">
        <f>'return order'!B12</f>
        <v>Sr smile 43</v>
      </c>
      <c r="C171" s="7" t="str">
        <f>'return order'!C12</f>
        <v>Resham Tamang</v>
      </c>
      <c r="D171" s="7" t="str">
        <f>'return order'!D12</f>
        <v>Melamchi bazar</v>
      </c>
      <c r="E171" s="8">
        <f>'return order'!E12</f>
        <v>9823024947</v>
      </c>
      <c r="F171" s="7">
        <v>0.0</v>
      </c>
      <c r="G171" s="8">
        <f t="array" ref="G171">XLOOKUP(C171, 'return order'!$C$2:$C$29, 'return order'!$F$2:$F$29, 0)</f>
        <v>1350</v>
      </c>
      <c r="H171" s="8">
        <f>'return order'!G12</f>
        <v>187</v>
      </c>
      <c r="I171" s="9" t="str">
        <f>'return order'!I12</f>
        <v>Return</v>
      </c>
      <c r="J171" s="6">
        <f>'return order'!K12</f>
        <v>45877.32514</v>
      </c>
    </row>
    <row r="172" ht="22.5" customHeight="1">
      <c r="A172" s="6">
        <f>'return order'!A13</f>
        <v>45867.20826</v>
      </c>
      <c r="B172" s="7" t="str">
        <f>'return order'!B13</f>
        <v>Vans full 40</v>
      </c>
      <c r="C172" s="7" t="str">
        <f>'return order'!C13</f>
        <v>Anish Hamal</v>
      </c>
      <c r="D172" s="7" t="str">
        <f>'return order'!D13</f>
        <v>Pokhara hemja, sundaripuri chowk 1 ma</v>
      </c>
      <c r="E172" s="8">
        <f>'return order'!E13</f>
        <v>9762335114</v>
      </c>
      <c r="F172" s="7">
        <v>0.0</v>
      </c>
      <c r="G172" s="8">
        <f t="array" ref="G172">XLOOKUP(C172, 'return order'!$C$2:$C$29, 'return order'!$F$2:$F$29, 0)</f>
        <v>1850</v>
      </c>
      <c r="H172" s="8">
        <f>'return order'!G13</f>
        <v>144.5</v>
      </c>
      <c r="I172" s="9" t="str">
        <f>'return order'!I13</f>
        <v>Return</v>
      </c>
      <c r="J172" s="6">
        <f>'return order'!K13</f>
        <v>45872.47502</v>
      </c>
    </row>
    <row r="173" ht="22.5" customHeight="1">
      <c r="A173" s="6">
        <f>'return order'!A14</f>
        <v>45860.67035</v>
      </c>
      <c r="B173" s="7" t="str">
        <f>'return order'!B14</f>
        <v>Vans shoes</v>
      </c>
      <c r="C173" s="7" t="str">
        <f>'return order'!C14</f>
        <v>Aashish Chaudhary</v>
      </c>
      <c r="D173" s="7" t="str">
        <f>'return order'!D14</f>
        <v>Krishnapur-2, kanchanpur, bani store</v>
      </c>
      <c r="E173" s="8">
        <f>'return order'!E14</f>
        <v>9805771229</v>
      </c>
      <c r="F173" s="7">
        <v>0.0</v>
      </c>
      <c r="G173" s="8">
        <f t="array" ref="G173">XLOOKUP(C173, 'return order'!$C$2:$C$29, 'return order'!$F$2:$F$29, 0)</f>
        <v>1300</v>
      </c>
      <c r="H173" s="8">
        <f>'return order'!G14</f>
        <v>187</v>
      </c>
      <c r="I173" s="9" t="str">
        <f>'return order'!I14</f>
        <v>Return</v>
      </c>
      <c r="J173" s="6">
        <f>'return order'!K14</f>
        <v>45876.28932</v>
      </c>
    </row>
    <row r="174" ht="22.5" customHeight="1">
      <c r="A174" s="6">
        <f>'return order'!A15</f>
        <v>45812.19563</v>
      </c>
      <c r="B174" s="7" t="str">
        <f>'return order'!B15</f>
        <v>Martin double sole size 40</v>
      </c>
      <c r="C174" s="7" t="str">
        <f>'return order'!C15</f>
        <v>Prashant thapa magar</v>
      </c>
      <c r="D174" s="7" t="str">
        <f>'return order'!D15</f>
        <v>Jhamsikhel</v>
      </c>
      <c r="E174" s="8">
        <f>'return order'!E15</f>
        <v>9765866800</v>
      </c>
      <c r="F174" s="7">
        <v>0.0</v>
      </c>
      <c r="G174" s="8">
        <f t="array" ref="G174">XLOOKUP(C174, 'return order'!$C$2:$C$29, 'return order'!$F$2:$F$29, 0)</f>
        <v>1300</v>
      </c>
      <c r="H174" s="8">
        <f>'return order'!G15</f>
        <v>14.75</v>
      </c>
      <c r="I174" s="9" t="str">
        <f>'return order'!I15</f>
        <v>Return</v>
      </c>
      <c r="J174" s="6">
        <f>'return order'!K15</f>
        <v>45816.22821</v>
      </c>
    </row>
    <row r="175" ht="22.5" customHeight="1">
      <c r="A175" s="6">
        <f>'return order'!A16</f>
        <v>45811.20309</v>
      </c>
      <c r="B175" s="7" t="str">
        <f>'return order'!B16</f>
        <v>Light brown Nike shoes size 40</v>
      </c>
      <c r="C175" s="7" t="str">
        <f>'return order'!C16</f>
        <v>Sanu Rana magar</v>
      </c>
      <c r="D175" s="7" t="str">
        <f>'return order'!D16</f>
        <v>Pokhara lake side, stage no 8</v>
      </c>
      <c r="E175" s="8">
        <f>'return order'!E16</f>
        <v>9817169782</v>
      </c>
      <c r="F175" s="7">
        <v>0.0</v>
      </c>
      <c r="G175" s="8">
        <f t="array" ref="G175">XLOOKUP(C175, 'return order'!$C$2:$C$29, 'return order'!$F$2:$F$29, 0)</f>
        <v>1300</v>
      </c>
      <c r="H175" s="8">
        <f>'return order'!G16</f>
        <v>67.15</v>
      </c>
      <c r="I175" s="9" t="str">
        <f>'return order'!I16</f>
        <v>Return</v>
      </c>
      <c r="J175" s="6">
        <f>'return order'!K16</f>
        <v>45816.28328</v>
      </c>
    </row>
    <row r="176" ht="22.5" customHeight="1">
      <c r="A176" s="6">
        <f>'return order'!A17</f>
        <v>45808.20375</v>
      </c>
      <c r="B176" s="7" t="str">
        <f>'return order'!B17</f>
        <v>Converse shoes size 39</v>
      </c>
      <c r="C176" s="7" t="str">
        <f>'return order'!C17</f>
        <v>Ajeep xettri</v>
      </c>
      <c r="D176" s="7" t="str">
        <f>'return order'!D17</f>
        <v>Narayanthan, chappali</v>
      </c>
      <c r="E176" s="8">
        <f>'return order'!E17</f>
        <v>9704411300</v>
      </c>
      <c r="F176" s="7">
        <v>0.0</v>
      </c>
      <c r="G176" s="8">
        <f t="array" ref="G176">XLOOKUP(C176, 'return order'!$C$2:$C$29, 'return order'!$F$2:$F$29, 0)</f>
        <v>1300</v>
      </c>
      <c r="H176" s="8">
        <f>'return order'!G17</f>
        <v>14.75</v>
      </c>
      <c r="I176" s="9" t="str">
        <f>'return order'!I17</f>
        <v>Return</v>
      </c>
      <c r="J176" s="6">
        <f>'return order'!K17</f>
        <v>45809.61065</v>
      </c>
    </row>
    <row r="177" ht="22.5" customHeight="1">
      <c r="A177" s="6">
        <f>'return order'!A18</f>
        <v>45782.18459</v>
      </c>
      <c r="B177" s="7" t="str">
        <f>'return order'!B18</f>
        <v>Sr shoes of size 42 costing RS. 1200</v>
      </c>
      <c r="C177" s="7" t="str">
        <f>'return order'!C18</f>
        <v>Samir Senchury</v>
      </c>
      <c r="D177" s="7" t="str">
        <f>'return order'!D18</f>
        <v>Samir mobile centre, khaireni chowk, butwal</v>
      </c>
      <c r="E177" s="8">
        <f>'return order'!E18</f>
        <v>9847447010</v>
      </c>
      <c r="F177" s="7">
        <v>0.0</v>
      </c>
      <c r="G177" s="8">
        <f t="array" ref="G177">XLOOKUP(C177, 'return order'!$C$2:$C$29, 'return order'!$F$2:$F$29, 0)</f>
        <v>1200</v>
      </c>
      <c r="H177" s="8">
        <f>'return order'!G18</f>
        <v>67.15</v>
      </c>
      <c r="I177" s="9" t="str">
        <f>'return order'!I18</f>
        <v>Return</v>
      </c>
      <c r="J177" s="6">
        <f>'return order'!K18</f>
        <v>45784.48567</v>
      </c>
    </row>
    <row r="178" ht="22.5" customHeight="1">
      <c r="A178" s="6">
        <f>'return order'!A19</f>
        <v>45780.7536</v>
      </c>
      <c r="B178" s="7" t="str">
        <f>'return order'!B19</f>
        <v>Sb dunk low pro shoes of size 43 costing RS. 1200</v>
      </c>
      <c r="C178" s="7" t="str">
        <f>'return order'!C19</f>
        <v>Iman Panta</v>
      </c>
      <c r="D178" s="7" t="str">
        <f>'return order'!D19</f>
        <v>Dhungedhara 16 , banasthali </v>
      </c>
      <c r="E178" s="8">
        <f>'return order'!E19</f>
        <v>9709300431</v>
      </c>
      <c r="F178" s="7">
        <v>0.0</v>
      </c>
      <c r="G178" s="8">
        <f t="array" ref="G178">XLOOKUP(C178, 'return order'!$C$2:$C$29, 'return order'!$F$2:$F$29, 0)</f>
        <v>1200</v>
      </c>
      <c r="H178" s="8">
        <f>'return order'!G19</f>
        <v>14.75</v>
      </c>
      <c r="I178" s="9" t="str">
        <f>'return order'!I19</f>
        <v>Return</v>
      </c>
      <c r="J178" s="6">
        <f>'return order'!K19</f>
        <v>45781.65334</v>
      </c>
    </row>
    <row r="179" ht="22.5" customHeight="1">
      <c r="A179" s="6">
        <f>'return order'!A20</f>
        <v>45779.77608</v>
      </c>
      <c r="B179" s="7" t="str">
        <f>'return order'!B20</f>
        <v>Full Jordan brown of size 43 costing RS. 1200</v>
      </c>
      <c r="C179" s="7" t="str">
        <f>'return order'!C20</f>
        <v>Aman Yaduvanshi </v>
      </c>
      <c r="D179" s="7" t="str">
        <f>'return order'!D20</f>
        <v>Nobel medical college, kanchanbari, biratnagar</v>
      </c>
      <c r="E179" s="8">
        <f>'return order'!E20</f>
        <v>9862985448</v>
      </c>
      <c r="F179" s="7">
        <v>0.0</v>
      </c>
      <c r="G179" s="8">
        <f t="array" ref="G179">XLOOKUP(C179, 'return order'!$C$2:$C$29, 'return order'!$F$2:$F$29, 0)</f>
        <v>1200</v>
      </c>
      <c r="H179" s="8">
        <f>'return order'!G20</f>
        <v>67.15</v>
      </c>
      <c r="I179" s="9" t="str">
        <f>'return order'!I20</f>
        <v>Return</v>
      </c>
      <c r="J179" s="6">
        <f>'return order'!K20</f>
        <v>45783.53596</v>
      </c>
    </row>
    <row r="180" ht="22.5" customHeight="1">
      <c r="A180" s="6">
        <f>'return order'!A21</f>
        <v>45779.067</v>
      </c>
      <c r="B180" s="7" t="str">
        <f>'return order'!B21</f>
        <v>White Nike shoes of size 43 costing RS 1200</v>
      </c>
      <c r="C180" s="7" t="str">
        <f>'return order'!C21</f>
        <v>Aaditya Mukhiya Bin</v>
      </c>
      <c r="D180" s="7" t="str">
        <f>'return order'!D21</f>
        <v>Mmc college Road, manakamana chowk, hetauda</v>
      </c>
      <c r="E180" s="8">
        <f>'return order'!E21</f>
        <v>9704578101</v>
      </c>
      <c r="F180" s="7">
        <v>0.0</v>
      </c>
      <c r="G180" s="8">
        <f t="array" ref="G180">XLOOKUP(C180, 'return order'!$C$2:$C$29, 'return order'!$F$2:$F$29, 0)</f>
        <v>1200</v>
      </c>
      <c r="H180" s="8">
        <f>'return order'!G21</f>
        <v>67.15</v>
      </c>
      <c r="I180" s="9" t="str">
        <f>'return order'!I21</f>
        <v>Return</v>
      </c>
      <c r="J180" s="6">
        <f>'return order'!K21</f>
        <v>45782.46396</v>
      </c>
    </row>
    <row r="181" ht="22.5" customHeight="1">
      <c r="A181" s="6">
        <f>'return order'!A22</f>
        <v>45766.19715</v>
      </c>
      <c r="B181" s="7" t="str">
        <f>'return order'!B22</f>
        <v>Af 1 shoes costing 1600</v>
      </c>
      <c r="C181" s="7" t="str">
        <f>'return order'!C22</f>
        <v>Binod panta</v>
      </c>
      <c r="D181" s="7" t="str">
        <f>'return order'!D22</f>
        <v>Jajarkot Nalgad Nagarpalika word n.5 kalimati</v>
      </c>
      <c r="E181" s="8">
        <f>'return order'!E22</f>
        <v>9767408061</v>
      </c>
      <c r="F181" s="7">
        <v>0.0</v>
      </c>
      <c r="G181" s="8">
        <f t="array" ref="G181">XLOOKUP(C181, 'return order'!$C$2:$C$29, 'return order'!$F$2:$F$29, 0)</f>
        <v>1600</v>
      </c>
      <c r="H181" s="8">
        <f>'return order'!G22</f>
        <v>67.15</v>
      </c>
      <c r="I181" s="9" t="str">
        <f>'return order'!I22</f>
        <v>Return</v>
      </c>
      <c r="J181" s="6">
        <f>'return order'!K22</f>
        <v>45779.45833</v>
      </c>
    </row>
    <row r="182" ht="22.5" customHeight="1">
      <c r="A182" s="6">
        <f>'return order'!A23</f>
        <v>45811.17373</v>
      </c>
      <c r="B182" s="7" t="str">
        <f>'return order'!B23</f>
        <v>Dark brown size 42</v>
      </c>
      <c r="C182" s="7" t="str">
        <f>'return order'!C23</f>
        <v>taha khan</v>
      </c>
      <c r="D182" s="7" t="str">
        <f>'return order'!D23</f>
        <v>Mp school Road, nepal gunj</v>
      </c>
      <c r="E182" s="8">
        <f>'return order'!E23</f>
        <v>9804527646</v>
      </c>
      <c r="F182" s="7">
        <v>0.0</v>
      </c>
      <c r="G182" s="8">
        <f t="array" ref="G182">XLOOKUP(C182, 'return order'!$C$2:$C$29, 'return order'!$F$2:$F$29, 0)</f>
        <v>0</v>
      </c>
      <c r="H182" s="8">
        <f>'return order'!G23</f>
        <v>67.15</v>
      </c>
      <c r="I182" s="9" t="str">
        <f>'return order'!I23</f>
        <v>Return</v>
      </c>
      <c r="J182" s="6">
        <f>'return order'!K23</f>
        <v>45812.52065</v>
      </c>
    </row>
    <row r="183" ht="22.5" customHeight="1">
      <c r="A183" s="6">
        <f>'return order'!A24</f>
        <v>45806.19416</v>
      </c>
      <c r="B183" s="7" t="str">
        <f>'return order'!B24</f>
        <v>White shoes size 42</v>
      </c>
      <c r="C183" s="7" t="str">
        <f>'return order'!C24</f>
        <v>sohail</v>
      </c>
      <c r="D183" s="7" t="str">
        <f>'return order'!D24</f>
        <v>Binam kasmetik and gift shop, kalanki</v>
      </c>
      <c r="E183" s="8">
        <f>'return order'!E24</f>
        <v>9761875124</v>
      </c>
      <c r="F183" s="7">
        <v>0.0</v>
      </c>
      <c r="G183" s="8">
        <f t="array" ref="G183">XLOOKUP(C183, 'return order'!$C$2:$C$29, 'return order'!$F$2:$F$29, 0)</f>
        <v>0</v>
      </c>
      <c r="H183" s="8">
        <f>'return order'!G24</f>
        <v>14.75</v>
      </c>
      <c r="I183" s="9" t="str">
        <f>'return order'!I24</f>
        <v>Return</v>
      </c>
      <c r="J183" s="6">
        <f>'return order'!K24</f>
        <v>45807.38868</v>
      </c>
    </row>
    <row r="184" ht="22.5" customHeight="1">
      <c r="A184" s="6">
        <f>'return order'!A25</f>
        <v>45860.99294</v>
      </c>
      <c r="B184" s="7" t="str">
        <f>'return order'!B25</f>
        <v>Vans size 40</v>
      </c>
      <c r="C184" s="7" t="str">
        <f>'return order'!C25</f>
        <v>arjun</v>
      </c>
      <c r="D184" s="7" t="str">
        <f>'return order'!D25</f>
        <v>Simara, iccha hotel</v>
      </c>
      <c r="E184" s="8">
        <f>'return order'!E25</f>
        <v>9824283470</v>
      </c>
      <c r="F184" s="7">
        <v>0.0</v>
      </c>
      <c r="G184" s="8">
        <f t="array" ref="G184">XLOOKUP(C184, 'return order'!$C$2:$C$29, 'return order'!$F$2:$F$29, 0)</f>
        <v>0</v>
      </c>
      <c r="H184" s="8">
        <f>'return order'!G25</f>
        <v>204</v>
      </c>
      <c r="I184" s="9" t="str">
        <f>'return order'!I25</f>
        <v>Return</v>
      </c>
      <c r="J184" s="6">
        <f>'return order'!K25</f>
        <v>45863.42215</v>
      </c>
    </row>
    <row r="185" ht="22.5" customHeight="1">
      <c r="A185" s="6">
        <f>'return order'!A26</f>
        <v>45861.20547</v>
      </c>
      <c r="B185" s="7" t="str">
        <f>'return order'!B26</f>
        <v/>
      </c>
      <c r="C185" s="7" t="str">
        <f>'return order'!C26</f>
        <v>srawon magar</v>
      </c>
      <c r="D185" s="7" t="str">
        <f>'return order'!D26</f>
        <v>Sindhuli bazzar, kabiram</v>
      </c>
      <c r="E185" s="8">
        <f>'return order'!E26</f>
        <v>9844184404</v>
      </c>
      <c r="F185" s="7">
        <v>0.0</v>
      </c>
      <c r="G185" s="8">
        <f t="array" ref="G185">XLOOKUP(C185, 'return order'!$C$2:$C$29, 'return order'!$F$2:$F$29, 0)</f>
        <v>0</v>
      </c>
      <c r="H185" s="8">
        <f>'return order'!G26</f>
        <v>161.5</v>
      </c>
      <c r="I185" s="9" t="str">
        <f>'return order'!I26</f>
        <v>Return</v>
      </c>
      <c r="J185" s="6">
        <f>'return order'!K26</f>
        <v>45864.3805</v>
      </c>
    </row>
    <row r="186" ht="22.5" customHeight="1">
      <c r="A186" s="6">
        <f>'return order'!A27</f>
        <v>45864.19787</v>
      </c>
      <c r="B186" s="7" t="str">
        <f>'return order'!B27</f>
        <v>Martin 3 sole size 39</v>
      </c>
      <c r="C186" s="7" t="str">
        <f>'return order'!C27</f>
        <v>kevin tamang</v>
      </c>
      <c r="D186" s="7" t="str">
        <f>'return order'!D27</f>
        <v>Chitwan, pokhara buspark</v>
      </c>
      <c r="E186" s="8">
        <f>'return order'!E27</f>
        <v>9701268575</v>
      </c>
      <c r="F186" s="7">
        <v>0.0</v>
      </c>
      <c r="G186" s="8">
        <f t="array" ref="G186">XLOOKUP(C186, 'return order'!$C$2:$C$29, 'return order'!$F$2:$F$29, 0)</f>
        <v>0</v>
      </c>
      <c r="H186" s="8">
        <f>'return order'!G27</f>
        <v>144.5</v>
      </c>
      <c r="I186" s="9" t="str">
        <f>'return order'!I27</f>
        <v>Return</v>
      </c>
      <c r="J186" s="6">
        <f>'return order'!K27</f>
        <v>45868.45729</v>
      </c>
    </row>
    <row r="187" ht="22.5" customHeight="1">
      <c r="A187" s="6">
        <f>'return order'!A28</f>
        <v>45892.23144</v>
      </c>
      <c r="B187" s="7" t="str">
        <f>'return order'!B28</f>
        <v>Martin 1 sole 42</v>
      </c>
      <c r="C187" s="7" t="str">
        <f>'return order'!C28</f>
        <v>rishav shah</v>
      </c>
      <c r="D187" s="7" t="str">
        <f>'return order'!D28</f>
        <v>Birgunj, murlibagaicha </v>
      </c>
      <c r="E187" s="8">
        <f>'return order'!E28</f>
        <v>9805639259</v>
      </c>
      <c r="F187" s="7">
        <v>0.0</v>
      </c>
      <c r="G187" s="8">
        <f t="array" ref="G187">XLOOKUP(C187, 'return order'!$C$2:$C$29, 'return order'!$F$2:$F$29, 0)</f>
        <v>0</v>
      </c>
      <c r="H187" s="8">
        <f>'return order'!G28</f>
        <v>144.5</v>
      </c>
      <c r="I187" s="9" t="str">
        <f>'return order'!I28</f>
        <v>Return</v>
      </c>
      <c r="J187" s="6">
        <f>'return order'!K28</f>
        <v>45895.24694</v>
      </c>
    </row>
    <row r="188" ht="22.5" customHeight="1">
      <c r="A188" s="6">
        <f>'return order'!A29</f>
        <v>45892.23306</v>
      </c>
      <c r="B188" s="7" t="str">
        <f>'return order'!B29</f>
        <v>Red Nike 40</v>
      </c>
      <c r="C188" s="7" t="str">
        <f>'return order'!C29</f>
        <v>bishwas</v>
      </c>
      <c r="D188" s="7" t="str">
        <f>'return order'!D29</f>
        <v>Chitwan, tandi </v>
      </c>
      <c r="E188" s="8">
        <f>'return order'!E29</f>
        <v>9708251241</v>
      </c>
      <c r="F188" s="7">
        <v>0.0</v>
      </c>
      <c r="G188" s="8">
        <f t="array" ref="G188">XLOOKUP(C188, 'return order'!$C$2:$C$29, 'return order'!$F$2:$F$29, 0)</f>
        <v>0</v>
      </c>
      <c r="H188" s="8">
        <f>'return order'!G29</f>
        <v>144.5</v>
      </c>
      <c r="I188" s="9" t="str">
        <f>'return order'!I29</f>
        <v>Return</v>
      </c>
      <c r="J188" s="6">
        <f>'return order'!K29</f>
        <v>45895.33392</v>
      </c>
    </row>
  </sheetData>
  <dataValidations>
    <dataValidation type="custom" allowBlank="1" showDropDown="1" sqref="A2:A188 J2:J188">
      <formula1>OR(NOT(ISERROR(DATEVALUE(A2))), AND(ISNUMBER(A2), LEFT(CELL("format", A2))="D"))</formula1>
    </dataValidation>
    <dataValidation type="custom" allowBlank="1" showDropDown="1" sqref="E2:E188 G2:H188">
      <formula1>AND(ISNUMBER(E2),(NOT(OR(NOT(ISERROR(DATEVALUE(E2))), AND(ISNUMBER(E2), LEFT(CELL("format", E2))="D")))))</formula1>
    </dataValidation>
    <dataValidation type="list" allowBlank="1" showDropDown="1" showErrorMessage="1" sqref="I2:I188">
      <formula1>"Delivered,Returned To Merchant,Return,Pickup Cancel,Exchange,Partial Delivery"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19" width="10.5"/>
  </cols>
  <sheetData>
    <row r="2" ht="22.5" customHeight="1">
      <c r="B2" s="10" t="s">
        <v>422</v>
      </c>
      <c r="C2" s="10" t="s">
        <v>423</v>
      </c>
      <c r="D2" s="10" t="s">
        <v>424</v>
      </c>
      <c r="E2" s="10" t="s">
        <v>425</v>
      </c>
      <c r="F2" s="10" t="s">
        <v>426</v>
      </c>
      <c r="G2" s="10" t="s">
        <v>427</v>
      </c>
      <c r="H2" s="10" t="s">
        <v>428</v>
      </c>
      <c r="I2" s="10" t="s">
        <v>429</v>
      </c>
      <c r="J2" s="10" t="s">
        <v>430</v>
      </c>
      <c r="K2" s="10" t="s">
        <v>7</v>
      </c>
      <c r="L2" s="10" t="s">
        <v>431</v>
      </c>
      <c r="M2" s="10" t="s">
        <v>432</v>
      </c>
      <c r="N2" s="10" t="s">
        <v>433</v>
      </c>
      <c r="O2" s="10" t="s">
        <v>434</v>
      </c>
      <c r="P2" s="10" t="s">
        <v>435</v>
      </c>
      <c r="Q2" s="10" t="s">
        <v>436</v>
      </c>
      <c r="R2" s="10" t="s">
        <v>437</v>
      </c>
      <c r="S2" s="10" t="s">
        <v>438</v>
      </c>
    </row>
    <row r="3" ht="22.5" customHeight="1">
      <c r="B3" s="11" t="s">
        <v>439</v>
      </c>
      <c r="C3" s="11">
        <f t="shared" ref="C3:C14" si="1">G3-H3</f>
        <v>0</v>
      </c>
      <c r="D3" s="11">
        <f t="shared" ref="D3:D14" si="2">IFERROR(H3/C3*100, 0)</f>
        <v>0</v>
      </c>
      <c r="E3" s="12">
        <v>0.0</v>
      </c>
      <c r="F3" s="12">
        <f>'balance sheet'!H3-'balance sheet'!I3-'balance sheet'!E3-'balance sheet'!J3</f>
        <v>0</v>
      </c>
      <c r="G3" s="11">
        <v>0.0</v>
      </c>
      <c r="H3" s="11">
        <v>0.0</v>
      </c>
      <c r="I3" s="11">
        <v>0.0</v>
      </c>
      <c r="J3" s="11">
        <v>0.0</v>
      </c>
      <c r="K3" s="11">
        <v>0.0</v>
      </c>
      <c r="L3" s="11">
        <v>0.0</v>
      </c>
      <c r="M3" s="11">
        <v>0.0</v>
      </c>
      <c r="N3" s="11">
        <v>0.0</v>
      </c>
      <c r="O3" s="13">
        <v>0.0</v>
      </c>
      <c r="P3" s="13">
        <v>0.0</v>
      </c>
      <c r="Q3" s="11">
        <v>0.0</v>
      </c>
      <c r="R3" s="11">
        <v>31.0</v>
      </c>
      <c r="S3" s="11" t="s">
        <v>440</v>
      </c>
    </row>
    <row r="4" ht="22.5" customHeight="1">
      <c r="B4" s="11" t="s">
        <v>441</v>
      </c>
      <c r="C4" s="11">
        <f t="shared" si="1"/>
        <v>0</v>
      </c>
      <c r="D4" s="11">
        <f t="shared" si="2"/>
        <v>0</v>
      </c>
      <c r="E4" s="12">
        <v>0.0</v>
      </c>
      <c r="F4" s="12">
        <f>'balance sheet'!H4-'balance sheet'!I4-'balance sheet'!E4-'balance sheet'!J4</f>
        <v>0</v>
      </c>
      <c r="G4" s="11">
        <v>0.0</v>
      </c>
      <c r="H4" s="11">
        <v>0.0</v>
      </c>
      <c r="I4" s="11">
        <v>0.0</v>
      </c>
      <c r="J4" s="11"/>
      <c r="K4" s="11">
        <v>0.0</v>
      </c>
      <c r="L4" s="11">
        <v>0.0</v>
      </c>
      <c r="M4" s="11">
        <v>0.0</v>
      </c>
      <c r="N4" s="11">
        <v>0.0</v>
      </c>
      <c r="O4" s="13">
        <v>0.0</v>
      </c>
      <c r="P4" s="13">
        <v>0.0</v>
      </c>
      <c r="Q4" s="11">
        <v>0.0</v>
      </c>
      <c r="R4" s="11">
        <v>28.0</v>
      </c>
      <c r="S4" s="11" t="s">
        <v>440</v>
      </c>
    </row>
    <row r="5" ht="22.5" customHeight="1">
      <c r="B5" s="11" t="s">
        <v>442</v>
      </c>
      <c r="C5" s="11">
        <f t="shared" si="1"/>
        <v>0</v>
      </c>
      <c r="D5" s="11">
        <f t="shared" si="2"/>
        <v>0</v>
      </c>
      <c r="E5" s="12">
        <v>0.0</v>
      </c>
      <c r="F5" s="12">
        <f>'balance sheet'!H5-'balance sheet'!I5-'balance sheet'!E5-'balance sheet'!J5</f>
        <v>0</v>
      </c>
      <c r="G5" s="11">
        <v>0.0</v>
      </c>
      <c r="H5" s="11">
        <v>0.0</v>
      </c>
      <c r="I5" s="11">
        <v>0.0</v>
      </c>
      <c r="J5" s="11">
        <v>0.0</v>
      </c>
      <c r="K5" s="11">
        <v>0.0</v>
      </c>
      <c r="L5" s="11">
        <v>0.0</v>
      </c>
      <c r="M5" s="11">
        <v>0.0</v>
      </c>
      <c r="N5" s="11">
        <v>0.0</v>
      </c>
      <c r="O5" s="13">
        <v>0.0</v>
      </c>
      <c r="P5" s="13">
        <v>0.0</v>
      </c>
      <c r="Q5" s="11">
        <v>0.0</v>
      </c>
      <c r="R5" s="11">
        <v>31.0</v>
      </c>
      <c r="S5" s="11" t="s">
        <v>440</v>
      </c>
    </row>
    <row r="6" ht="22.5" customHeight="1">
      <c r="B6" s="11" t="s">
        <v>443</v>
      </c>
      <c r="C6" s="14">
        <f t="shared" si="1"/>
        <v>20650</v>
      </c>
      <c r="D6" s="14">
        <f t="shared" si="2"/>
        <v>42.61501211</v>
      </c>
      <c r="E6" s="15">
        <v>5156.2</v>
      </c>
      <c r="F6" s="15">
        <f>'balance sheet'!H6-'balance sheet'!I6-'balance sheet'!E6-'balance sheet'!J6</f>
        <v>3503.02</v>
      </c>
      <c r="G6" s="14">
        <v>29450.0</v>
      </c>
      <c r="H6" s="14">
        <v>8800.0</v>
      </c>
      <c r="I6" s="11">
        <v>73.63</v>
      </c>
      <c r="J6" s="11">
        <v>67.15</v>
      </c>
      <c r="K6" s="11">
        <v>140.78</v>
      </c>
      <c r="L6" s="11">
        <v>19.0</v>
      </c>
      <c r="M6" s="11">
        <v>1.0</v>
      </c>
      <c r="N6" s="11">
        <v>20.0</v>
      </c>
      <c r="O6" s="13">
        <v>0.95</v>
      </c>
      <c r="P6" s="13">
        <v>0.05</v>
      </c>
      <c r="Q6" s="11">
        <v>6.0</v>
      </c>
      <c r="R6" s="11">
        <v>24.0</v>
      </c>
      <c r="S6" s="11" t="s">
        <v>444</v>
      </c>
    </row>
    <row r="7" ht="22.5" customHeight="1">
      <c r="B7" s="11" t="s">
        <v>445</v>
      </c>
      <c r="C7" s="14">
        <f t="shared" si="1"/>
        <v>35100</v>
      </c>
      <c r="D7" s="14">
        <f t="shared" si="2"/>
        <v>26.6951567</v>
      </c>
      <c r="E7" s="15">
        <v>14893.2</v>
      </c>
      <c r="F7" s="15">
        <f>'balance sheet'!H7-'balance sheet'!I7-'balance sheet'!E7-'balance sheet'!J7</f>
        <v>-6709.08</v>
      </c>
      <c r="G7" s="14">
        <v>44470.0</v>
      </c>
      <c r="H7" s="14">
        <v>9370.0</v>
      </c>
      <c r="I7" s="11">
        <v>940.18</v>
      </c>
      <c r="J7" s="11">
        <v>245.7</v>
      </c>
      <c r="K7" s="16">
        <v>1185.88</v>
      </c>
      <c r="L7" s="11">
        <v>31.0</v>
      </c>
      <c r="M7" s="11">
        <v>6.0</v>
      </c>
      <c r="N7" s="11">
        <v>37.0</v>
      </c>
      <c r="O7" s="13">
        <v>0.8378</v>
      </c>
      <c r="P7" s="13">
        <v>0.1622</v>
      </c>
      <c r="Q7" s="11">
        <v>9.0</v>
      </c>
      <c r="R7" s="11">
        <v>22.0</v>
      </c>
      <c r="S7" s="11" t="s">
        <v>446</v>
      </c>
    </row>
    <row r="8" ht="22.5" customHeight="1">
      <c r="B8" s="11" t="s">
        <v>447</v>
      </c>
      <c r="C8" s="14">
        <f t="shared" si="1"/>
        <v>17600</v>
      </c>
      <c r="D8" s="14">
        <f t="shared" si="2"/>
        <v>48.57954545</v>
      </c>
      <c r="E8" s="15">
        <v>3032.4</v>
      </c>
      <c r="F8" s="15">
        <f>'balance sheet'!H8-'balance sheet'!I8-'balance sheet'!E8-'balance sheet'!J8</f>
        <v>4020.17</v>
      </c>
      <c r="G8" s="14">
        <v>26150.0</v>
      </c>
      <c r="H8" s="14">
        <v>8550.0</v>
      </c>
      <c r="I8" s="16">
        <v>1348.38</v>
      </c>
      <c r="J8" s="11">
        <v>149.05</v>
      </c>
      <c r="K8" s="16">
        <v>1497.43</v>
      </c>
      <c r="L8" s="11">
        <v>17.0</v>
      </c>
      <c r="M8" s="11">
        <v>3.0</v>
      </c>
      <c r="N8" s="11">
        <v>20.0</v>
      </c>
      <c r="O8" s="13">
        <v>0.85</v>
      </c>
      <c r="P8" s="13">
        <v>0.15</v>
      </c>
      <c r="Q8" s="11">
        <v>4.0</v>
      </c>
      <c r="R8" s="11">
        <v>26.0</v>
      </c>
      <c r="S8" s="11" t="s">
        <v>448</v>
      </c>
    </row>
    <row r="9" ht="22.5" customHeight="1">
      <c r="B9" s="11" t="s">
        <v>449</v>
      </c>
      <c r="C9" s="14">
        <f t="shared" si="1"/>
        <v>29000</v>
      </c>
      <c r="D9" s="14">
        <f t="shared" si="2"/>
        <v>47.31034483</v>
      </c>
      <c r="E9" s="15">
        <v>12684.0</v>
      </c>
      <c r="F9" s="15">
        <f>'balance sheet'!H9-'balance sheet'!I9-'balance sheet'!E9-'balance sheet'!J9</f>
        <v>-4434.37</v>
      </c>
      <c r="G9" s="14">
        <v>42720.0</v>
      </c>
      <c r="H9" s="14">
        <v>13720.0</v>
      </c>
      <c r="I9" s="16">
        <v>4628.87</v>
      </c>
      <c r="J9" s="11">
        <v>841.5</v>
      </c>
      <c r="K9" s="16">
        <v>5470.37</v>
      </c>
      <c r="L9" s="11">
        <v>28.0</v>
      </c>
      <c r="M9" s="11">
        <v>5.0</v>
      </c>
      <c r="N9" s="11">
        <v>33.0</v>
      </c>
      <c r="O9" s="13">
        <v>0.8485</v>
      </c>
      <c r="P9" s="13">
        <v>0.1515</v>
      </c>
      <c r="Q9" s="11">
        <v>9.0</v>
      </c>
      <c r="R9" s="11">
        <v>22.0</v>
      </c>
      <c r="S9" s="11" t="s">
        <v>450</v>
      </c>
    </row>
    <row r="10" ht="22.5" customHeight="1">
      <c r="B10" s="11" t="s">
        <v>451</v>
      </c>
      <c r="C10" s="14">
        <f t="shared" si="1"/>
        <v>29450</v>
      </c>
      <c r="D10" s="14">
        <f t="shared" si="2"/>
        <v>46.51952462</v>
      </c>
      <c r="E10" s="15">
        <v>6903.4</v>
      </c>
      <c r="F10" s="15">
        <f>'balance sheet'!H10-'balance sheet'!I10-'balance sheet'!E10-'balance sheet'!J10</f>
        <v>532.13</v>
      </c>
      <c r="G10" s="14">
        <v>43150.0</v>
      </c>
      <c r="H10" s="14">
        <v>13700.0</v>
      </c>
      <c r="I10" s="16">
        <v>4342.97</v>
      </c>
      <c r="J10" s="16">
        <v>1921.5</v>
      </c>
      <c r="K10" s="16">
        <v>6264.47</v>
      </c>
      <c r="L10" s="11">
        <v>26.0</v>
      </c>
      <c r="M10" s="11">
        <v>13.0</v>
      </c>
      <c r="N10" s="11">
        <v>39.0</v>
      </c>
      <c r="O10" s="13">
        <v>0.6667</v>
      </c>
      <c r="P10" s="13">
        <v>0.3333</v>
      </c>
      <c r="Q10" s="11">
        <v>12.0</v>
      </c>
      <c r="R10" s="11">
        <v>19.0</v>
      </c>
      <c r="S10" s="11" t="s">
        <v>452</v>
      </c>
    </row>
    <row r="11" ht="22.5" customHeight="1">
      <c r="B11" s="11" t="s">
        <v>453</v>
      </c>
      <c r="C11" s="14">
        <f t="shared" si="1"/>
        <v>3100</v>
      </c>
      <c r="D11" s="14">
        <f t="shared" si="2"/>
        <v>25.80645161</v>
      </c>
      <c r="E11" s="15">
        <v>270.2</v>
      </c>
      <c r="F11" s="15">
        <f>'balance sheet'!H11-'balance sheet'!I11-'balance sheet'!E11-'balance sheet'!J11</f>
        <v>152.04</v>
      </c>
      <c r="G11" s="14">
        <v>3900.0</v>
      </c>
      <c r="H11" s="11">
        <v>800.0</v>
      </c>
      <c r="I11" s="11">
        <v>377.76</v>
      </c>
      <c r="J11" s="11">
        <v>0.0</v>
      </c>
      <c r="K11" s="11">
        <v>377.76</v>
      </c>
      <c r="L11" s="11">
        <v>2.0</v>
      </c>
      <c r="M11" s="11">
        <v>0.0</v>
      </c>
      <c r="N11" s="11">
        <v>2.0</v>
      </c>
      <c r="O11" s="13">
        <v>1.0</v>
      </c>
      <c r="P11" s="13">
        <v>0.0</v>
      </c>
      <c r="Q11" s="11">
        <v>1.0</v>
      </c>
      <c r="R11" s="11">
        <v>29.0</v>
      </c>
      <c r="S11" s="11" t="s">
        <v>454</v>
      </c>
    </row>
    <row r="12" ht="22.5" customHeight="1">
      <c r="B12" s="11" t="s">
        <v>455</v>
      </c>
      <c r="C12" s="11">
        <f t="shared" si="1"/>
        <v>0</v>
      </c>
      <c r="D12" s="11">
        <f t="shared" si="2"/>
        <v>0</v>
      </c>
      <c r="E12" s="12">
        <v>0.0</v>
      </c>
      <c r="F12" s="12">
        <f>'balance sheet'!H12-'balance sheet'!I12-'balance sheet'!E12-'balance sheet'!J12</f>
        <v>0</v>
      </c>
      <c r="G12" s="11">
        <v>0.0</v>
      </c>
      <c r="H12" s="11">
        <v>0.0</v>
      </c>
      <c r="I12" s="11">
        <v>0.0</v>
      </c>
      <c r="J12" s="11">
        <v>0.0</v>
      </c>
      <c r="K12" s="11">
        <v>0.0</v>
      </c>
      <c r="L12" s="11">
        <v>0.0</v>
      </c>
      <c r="M12" s="11">
        <v>0.0</v>
      </c>
      <c r="N12" s="11">
        <v>0.0</v>
      </c>
      <c r="O12" s="13">
        <v>0.0</v>
      </c>
      <c r="P12" s="13">
        <v>0.0</v>
      </c>
      <c r="Q12" s="11">
        <v>0.0</v>
      </c>
      <c r="R12" s="11">
        <v>31.0</v>
      </c>
      <c r="S12" s="11" t="s">
        <v>440</v>
      </c>
    </row>
    <row r="13" ht="22.5" customHeight="1">
      <c r="B13" s="11" t="s">
        <v>456</v>
      </c>
      <c r="C13" s="11">
        <f t="shared" si="1"/>
        <v>0</v>
      </c>
      <c r="D13" s="11">
        <f t="shared" si="2"/>
        <v>0</v>
      </c>
      <c r="E13" s="12">
        <v>0.0</v>
      </c>
      <c r="F13" s="12">
        <f>'balance sheet'!H13-'balance sheet'!I13-'balance sheet'!E13-'balance sheet'!J13</f>
        <v>0</v>
      </c>
      <c r="G13" s="11">
        <v>0.0</v>
      </c>
      <c r="H13" s="11">
        <v>0.0</v>
      </c>
      <c r="I13" s="11">
        <v>0.0</v>
      </c>
      <c r="J13" s="11">
        <v>0.0</v>
      </c>
      <c r="K13" s="11">
        <v>0.0</v>
      </c>
      <c r="L13" s="11">
        <v>0.0</v>
      </c>
      <c r="M13" s="11">
        <v>0.0</v>
      </c>
      <c r="N13" s="11">
        <v>0.0</v>
      </c>
      <c r="O13" s="13">
        <v>0.0</v>
      </c>
      <c r="P13" s="13">
        <v>0.0</v>
      </c>
      <c r="Q13" s="11">
        <v>0.0</v>
      </c>
      <c r="R13" s="11">
        <v>30.0</v>
      </c>
      <c r="S13" s="11" t="s">
        <v>440</v>
      </c>
    </row>
    <row r="14" ht="22.5" customHeight="1">
      <c r="B14" s="11" t="s">
        <v>457</v>
      </c>
      <c r="C14" s="11">
        <f t="shared" si="1"/>
        <v>0</v>
      </c>
      <c r="D14" s="11">
        <f t="shared" si="2"/>
        <v>0</v>
      </c>
      <c r="E14" s="12">
        <v>0.0</v>
      </c>
      <c r="F14" s="12">
        <f>'balance sheet'!H14-'balance sheet'!I14-'balance sheet'!E14-'balance sheet'!J14</f>
        <v>0</v>
      </c>
      <c r="G14" s="11">
        <v>0.0</v>
      </c>
      <c r="H14" s="11">
        <v>0.0</v>
      </c>
      <c r="I14" s="11">
        <v>0.0</v>
      </c>
      <c r="J14" s="11">
        <v>0.0</v>
      </c>
      <c r="K14" s="11">
        <v>0.0</v>
      </c>
      <c r="L14" s="11">
        <v>0.0</v>
      </c>
      <c r="M14" s="11">
        <v>0.0</v>
      </c>
      <c r="N14" s="11">
        <v>0.0</v>
      </c>
      <c r="O14" s="13">
        <v>0.0</v>
      </c>
      <c r="P14" s="13">
        <v>0.0</v>
      </c>
      <c r="Q14" s="11">
        <v>0.0</v>
      </c>
      <c r="R14" s="11">
        <v>31.0</v>
      </c>
      <c r="S14" s="11" t="s">
        <v>440</v>
      </c>
    </row>
    <row r="15" ht="22.5" customHeight="1">
      <c r="B15" s="11" t="s">
        <v>458</v>
      </c>
      <c r="C15" s="14">
        <f>sum(C6:C11)</f>
        <v>134900</v>
      </c>
      <c r="D15" s="14">
        <f>AVERAGE(D6:D11)</f>
        <v>39.58767255</v>
      </c>
      <c r="E15" s="12">
        <v>42939.4</v>
      </c>
      <c r="F15" s="12">
        <f>SUM(F3:F14)</f>
        <v>-2936.09</v>
      </c>
      <c r="G15" s="11" t="s">
        <v>459</v>
      </c>
      <c r="H15" s="11" t="s">
        <v>460</v>
      </c>
      <c r="I15" s="11" t="s">
        <v>461</v>
      </c>
      <c r="J15" s="11" t="s">
        <v>462</v>
      </c>
      <c r="K15" s="11" t="s">
        <v>463</v>
      </c>
      <c r="L15" s="11" t="s">
        <v>464</v>
      </c>
      <c r="M15" s="11" t="s">
        <v>465</v>
      </c>
      <c r="N15" s="11" t="s">
        <v>466</v>
      </c>
      <c r="O15" s="11" t="s">
        <v>467</v>
      </c>
      <c r="P15" s="11" t="s">
        <v>468</v>
      </c>
      <c r="Q15" s="11" t="s">
        <v>469</v>
      </c>
      <c r="R15" s="11" t="s">
        <v>470</v>
      </c>
      <c r="S15" s="11" t="s">
        <v>471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7.5"/>
  </cols>
  <sheetData>
    <row r="1">
      <c r="A1" s="17" t="str">
        <f>IFERROR(__xludf.DUMMYFUNCTION("QUERY(reference!A1:J188, ""where I = 'Delivered'"", 1)"),"Order created at")</f>
        <v>Order created at</v>
      </c>
      <c r="B1" s="17" t="str">
        <f>IFERROR(__xludf.DUMMYFUNCTION("""COMPUTED_VALUE"""),"Order description")</f>
        <v>Order description</v>
      </c>
      <c r="C1" s="17" t="str">
        <f>IFERROR(__xludf.DUMMYFUNCTION("""COMPUTED_VALUE"""),"Recipient name")</f>
        <v>Recipient name</v>
      </c>
      <c r="D1" s="17" t="str">
        <f>IFERROR(__xludf.DUMMYFUNCTION("""COMPUTED_VALUE"""),"Recipient address")</f>
        <v>Recipient address</v>
      </c>
      <c r="E1" s="17" t="str">
        <f>IFERROR(__xludf.DUMMYFUNCTION("""COMPUTED_VALUE"""),"Recipient phone")</f>
        <v>Recipient phone</v>
      </c>
      <c r="F1" s="17" t="str">
        <f>IFERROR(__xludf.DUMMYFUNCTION("""COMPUTED_VALUE"""),"proft")</f>
        <v>proft</v>
      </c>
      <c r="G1" s="17" t="str">
        <f>IFERROR(__xludf.DUMMYFUNCTION("""COMPUTED_VALUE"""),"Collected amount")</f>
        <v>Collected amount</v>
      </c>
      <c r="H1" s="17" t="str">
        <f>IFERROR(__xludf.DUMMYFUNCTION("""COMPUTED_VALUE"""),"Total fee")</f>
        <v>Total fee</v>
      </c>
      <c r="I1" s="17" t="str">
        <f>IFERROR(__xludf.DUMMYFUNCTION("""COMPUTED_VALUE"""),"Order status")</f>
        <v>Order status</v>
      </c>
      <c r="J1" s="17" t="str">
        <f>IFERROR(__xludf.DUMMYFUNCTION("""COMPUTED_VALUE"""),"Order status")</f>
        <v>Order status</v>
      </c>
    </row>
    <row r="2">
      <c r="A2" s="18">
        <f>IFERROR(__xludf.DUMMYFUNCTION("""COMPUTED_VALUE"""),45916.191412037035)</f>
        <v>45916.19141</v>
      </c>
      <c r="B2" s="17" t="str">
        <f>IFERROR(__xludf.DUMMYFUNCTION("""COMPUTED_VALUE"""),"Martin 2 sole half ")</f>
        <v>Martin 2 sole half </v>
      </c>
      <c r="C2" s="17" t="str">
        <f>IFERROR(__xludf.DUMMYFUNCTION("""COMPUTED_VALUE"""),"Amit Magar")</f>
        <v>Amit Magar</v>
      </c>
      <c r="D2" s="17" t="str">
        <f>IFERROR(__xludf.DUMMYFUNCTION("""COMPUTED_VALUE"""),"Dharan, bhanu chowk ")</f>
        <v>Dharan, bhanu chowk </v>
      </c>
      <c r="E2" s="17">
        <f>IFERROR(__xludf.DUMMYFUNCTION("""COMPUTED_VALUE"""),9.84940118E9)</f>
        <v>9849401180</v>
      </c>
      <c r="F2" s="19">
        <f>IFERROR(__xludf.DUMMYFUNCTION("""COMPUTED_VALUE"""),350.0)</f>
        <v>350</v>
      </c>
      <c r="G2" s="19">
        <f>IFERROR(__xludf.DUMMYFUNCTION("""COMPUTED_VALUE"""),1350.0)</f>
        <v>1350</v>
      </c>
      <c r="H2" s="19">
        <f>IFERROR(__xludf.DUMMYFUNCTION("""COMPUTED_VALUE"""),162.38)</f>
        <v>162.38</v>
      </c>
      <c r="I2" s="17" t="str">
        <f>IFERROR(__xludf.DUMMYFUNCTION("""COMPUTED_VALUE"""),"Delivered")</f>
        <v>Delivered</v>
      </c>
      <c r="J2" s="18">
        <f>IFERROR(__xludf.DUMMYFUNCTION("""COMPUTED_VALUE"""),45918.31509259259)</f>
        <v>45918.31509</v>
      </c>
    </row>
    <row r="3">
      <c r="A3" s="18">
        <f>IFERROR(__xludf.DUMMYFUNCTION("""COMPUTED_VALUE"""),45916.18975694444)</f>
        <v>45916.18976</v>
      </c>
      <c r="B3" s="17" t="str">
        <f>IFERROR(__xludf.DUMMYFUNCTION("""COMPUTED_VALUE"""),"N and red 37 and 40")</f>
        <v>N and red 37 and 40</v>
      </c>
      <c r="C3" s="17" t="str">
        <f>IFERROR(__xludf.DUMMYFUNCTION("""COMPUTED_VALUE"""),"Prabin karki")</f>
        <v>Prabin karki</v>
      </c>
      <c r="D3" s="17" t="str">
        <f>IFERROR(__xludf.DUMMYFUNCTION("""COMPUTED_VALUE"""),"Solukhumbu tingla")</f>
        <v>Solukhumbu tingla</v>
      </c>
      <c r="E3" s="17">
        <f>IFERROR(__xludf.DUMMYFUNCTION("""COMPUTED_VALUE"""),9.749215487E9)</f>
        <v>9749215487</v>
      </c>
      <c r="F3" s="19">
        <f>IFERROR(__xludf.DUMMYFUNCTION("""COMPUTED_VALUE"""),450.0)</f>
        <v>450</v>
      </c>
      <c r="G3" s="19">
        <f>IFERROR(__xludf.DUMMYFUNCTION("""COMPUTED_VALUE"""),2550.0)</f>
        <v>2550</v>
      </c>
      <c r="H3" s="19">
        <f>IFERROR(__xludf.DUMMYFUNCTION("""COMPUTED_VALUE"""),215.38)</f>
        <v>215.38</v>
      </c>
      <c r="I3" s="17" t="str">
        <f>IFERROR(__xludf.DUMMYFUNCTION("""COMPUTED_VALUE"""),"Delivered")</f>
        <v>Delivered</v>
      </c>
      <c r="J3" s="18">
        <f>IFERROR(__xludf.DUMMYFUNCTION("""COMPUTED_VALUE"""),45919.61679398148)</f>
        <v>45919.61679</v>
      </c>
    </row>
    <row r="4">
      <c r="A4" s="18">
        <f>IFERROR(__xludf.DUMMYFUNCTION("""COMPUTED_VALUE"""),45894.19651620371)</f>
        <v>45894.19652</v>
      </c>
      <c r="B4" s="17" t="str">
        <f>IFERROR(__xludf.DUMMYFUNCTION("""COMPUTED_VALUE"""),"Martin 1 sole 36")</f>
        <v>Martin 1 sole 36</v>
      </c>
      <c r="C4" s="17" t="str">
        <f>IFERROR(__xludf.DUMMYFUNCTION("""COMPUTED_VALUE"""),"Manoj")</f>
        <v>Manoj</v>
      </c>
      <c r="D4" s="17" t="str">
        <f>IFERROR(__xludf.DUMMYFUNCTION("""COMPUTED_VALUE"""),"Sundarijal, ktm dobato chowk")</f>
        <v>Sundarijal, ktm dobato chowk</v>
      </c>
      <c r="E4" s="17">
        <f>IFERROR(__xludf.DUMMYFUNCTION("""COMPUTED_VALUE"""),9.768966994E9)</f>
        <v>9768966994</v>
      </c>
      <c r="F4" s="19">
        <f>IFERROR(__xludf.DUMMYFUNCTION("""COMPUTED_VALUE"""),300.0)</f>
        <v>300</v>
      </c>
      <c r="G4" s="19">
        <f>IFERROR(__xludf.DUMMYFUNCTION("""COMPUTED_VALUE"""),1100.0)</f>
        <v>1100</v>
      </c>
      <c r="H4" s="19">
        <f>IFERROR(__xludf.DUMMYFUNCTION("""COMPUTED_VALUE"""),101.75)</f>
        <v>101.75</v>
      </c>
      <c r="I4" s="17" t="str">
        <f>IFERROR(__xludf.DUMMYFUNCTION("""COMPUTED_VALUE"""),"Delivered")</f>
        <v>Delivered</v>
      </c>
      <c r="J4" s="18">
        <f>IFERROR(__xludf.DUMMYFUNCTION("""COMPUTED_VALUE"""),45894.44189814814)</f>
        <v>45894.4419</v>
      </c>
    </row>
    <row r="5">
      <c r="A5" s="18">
        <f>IFERROR(__xludf.DUMMYFUNCTION("""COMPUTED_VALUE"""),45893.18133101852)</f>
        <v>45893.18133</v>
      </c>
      <c r="B5" s="17" t="str">
        <f>IFERROR(__xludf.DUMMYFUNCTION("""COMPUTED_VALUE"""),"Martin 3 sole 41")</f>
        <v>Martin 3 sole 41</v>
      </c>
      <c r="C5" s="17" t="str">
        <f>IFERROR(__xludf.DUMMYFUNCTION("""COMPUTED_VALUE"""),"Manish Bishwokarma")</f>
        <v>Manish Bishwokarma</v>
      </c>
      <c r="D5" s="17" t="str">
        <f>IFERROR(__xludf.DUMMYFUNCTION("""COMPUTED_VALUE"""),"Tanahun, dulegauda ")</f>
        <v>Tanahun, dulegauda </v>
      </c>
      <c r="E5" s="17">
        <f>IFERROR(__xludf.DUMMYFUNCTION("""COMPUTED_VALUE"""),9.815193182E9)</f>
        <v>9815193182</v>
      </c>
      <c r="F5" s="19">
        <f>IFERROR(__xludf.DUMMYFUNCTION("""COMPUTED_VALUE"""),650.0)</f>
        <v>650</v>
      </c>
      <c r="G5" s="19">
        <f>IFERROR(__xludf.DUMMYFUNCTION("""COMPUTED_VALUE"""),1650.0)</f>
        <v>1650</v>
      </c>
      <c r="H5" s="19">
        <f>IFERROR(__xludf.DUMMYFUNCTION("""COMPUTED_VALUE"""),183.13)</f>
        <v>183.13</v>
      </c>
      <c r="I5" s="17" t="str">
        <f>IFERROR(__xludf.DUMMYFUNCTION("""COMPUTED_VALUE"""),"Delivered")</f>
        <v>Delivered</v>
      </c>
      <c r="J5" s="18">
        <f>IFERROR(__xludf.DUMMYFUNCTION("""COMPUTED_VALUE"""),45894.3146412037)</f>
        <v>45894.31464</v>
      </c>
    </row>
    <row r="6">
      <c r="A6" s="18">
        <f>IFERROR(__xludf.DUMMYFUNCTION("""COMPUTED_VALUE"""),45893.17900462963)</f>
        <v>45893.179</v>
      </c>
      <c r="B6" s="17" t="str">
        <f>IFERROR(__xludf.DUMMYFUNCTION("""COMPUTED_VALUE"""),"Blue Nike 39")</f>
        <v>Blue Nike 39</v>
      </c>
      <c r="C6" s="17" t="str">
        <f>IFERROR(__xludf.DUMMYFUNCTION("""COMPUTED_VALUE"""),"Rajdip Chudal")</f>
        <v>Rajdip Chudal</v>
      </c>
      <c r="D6" s="17" t="str">
        <f>IFERROR(__xludf.DUMMYFUNCTION("""COMPUTED_VALUE"""),"Haldibari 4, magalbare jhapa")</f>
        <v>Haldibari 4, magalbare jhapa</v>
      </c>
      <c r="E6" s="17">
        <f>IFERROR(__xludf.DUMMYFUNCTION("""COMPUTED_VALUE"""),9.815936372E9)</f>
        <v>9815936372</v>
      </c>
      <c r="F6" s="19">
        <f>IFERROR(__xludf.DUMMYFUNCTION("""COMPUTED_VALUE"""),350.0)</f>
        <v>350</v>
      </c>
      <c r="G6" s="19">
        <f>IFERROR(__xludf.DUMMYFUNCTION("""COMPUTED_VALUE"""),1350.0)</f>
        <v>1350</v>
      </c>
      <c r="H6" s="19">
        <f>IFERROR(__xludf.DUMMYFUNCTION("""COMPUTED_VALUE"""),182.38)</f>
        <v>182.38</v>
      </c>
      <c r="I6" s="17" t="str">
        <f>IFERROR(__xludf.DUMMYFUNCTION("""COMPUTED_VALUE"""),"Delivered")</f>
        <v>Delivered</v>
      </c>
      <c r="J6" s="18">
        <f>IFERROR(__xludf.DUMMYFUNCTION("""COMPUTED_VALUE"""),45895.44592592593)</f>
        <v>45895.44593</v>
      </c>
    </row>
    <row r="7">
      <c r="A7" s="18">
        <f>IFERROR(__xludf.DUMMYFUNCTION("""COMPUTED_VALUE"""),45893.178032407406)</f>
        <v>45893.17803</v>
      </c>
      <c r="B7" s="17" t="str">
        <f>IFERROR(__xludf.DUMMYFUNCTION("""COMPUTED_VALUE"""),"Martin 3 sole size 39 39 38")</f>
        <v>Martin 3 sole size 39 39 38</v>
      </c>
      <c r="C7" s="17" t="str">
        <f>IFERROR(__xludf.DUMMYFUNCTION("""COMPUTED_VALUE"""),"Laxmi Rai")</f>
        <v>Laxmi Rai</v>
      </c>
      <c r="D7" s="17" t="str">
        <f>IFERROR(__xludf.DUMMYFUNCTION("""COMPUTED_VALUE""")," Shree antu, baral bhanjyang")</f>
        <v> Shree antu, baral bhanjyang</v>
      </c>
      <c r="E7" s="17">
        <f>IFERROR(__xludf.DUMMYFUNCTION("""COMPUTED_VALUE"""),9.769723304E9)</f>
        <v>9769723304</v>
      </c>
      <c r="F7" s="19">
        <f>IFERROR(__xludf.DUMMYFUNCTION("""COMPUTED_VALUE"""),1300.0)</f>
        <v>1300</v>
      </c>
      <c r="G7" s="19">
        <f>IFERROR(__xludf.DUMMYFUNCTION("""COMPUTED_VALUE"""),4650.0)</f>
        <v>4650</v>
      </c>
      <c r="H7" s="19">
        <f>IFERROR(__xludf.DUMMYFUNCTION("""COMPUTED_VALUE"""),220.63)</f>
        <v>220.63</v>
      </c>
      <c r="I7" s="17" t="str">
        <f>IFERROR(__xludf.DUMMYFUNCTION("""COMPUTED_VALUE"""),"Delivered")</f>
        <v>Delivered</v>
      </c>
      <c r="J7" s="18">
        <f>IFERROR(__xludf.DUMMYFUNCTION("""COMPUTED_VALUE"""),45898.376655092594)</f>
        <v>45898.37666</v>
      </c>
    </row>
    <row r="8">
      <c r="A8" s="18">
        <f>IFERROR(__xludf.DUMMYFUNCTION("""COMPUTED_VALUE"""),45892.28570601852)</f>
        <v>45892.28571</v>
      </c>
      <c r="B8" s="17" t="str">
        <f>IFERROR(__xludf.DUMMYFUNCTION("""COMPUTED_VALUE"""),"Nike 11 red and Martin 2 sole 42 and 43")</f>
        <v>Nike 11 red and Martin 2 sole 42 and 43</v>
      </c>
      <c r="C8" s="17" t="str">
        <f>IFERROR(__xludf.DUMMYFUNCTION("""COMPUTED_VALUE"""),"Dipak Shah")</f>
        <v>Dipak Shah</v>
      </c>
      <c r="D8" s="17" t="str">
        <f>IFERROR(__xludf.DUMMYFUNCTION("""COMPUTED_VALUE"""),"Tinkune, the new summit college")</f>
        <v>Tinkune, the new summit college</v>
      </c>
      <c r="E8" s="17">
        <f>IFERROR(__xludf.DUMMYFUNCTION("""COMPUTED_VALUE"""),9.826881955E9)</f>
        <v>9826881955</v>
      </c>
      <c r="F8" s="19">
        <f>IFERROR(__xludf.DUMMYFUNCTION("""COMPUTED_VALUE"""),800.0)</f>
        <v>800</v>
      </c>
      <c r="G8" s="19">
        <f>IFERROR(__xludf.DUMMYFUNCTION("""COMPUTED_VALUE"""),2600.0)</f>
        <v>2600</v>
      </c>
      <c r="H8" s="19">
        <f>IFERROR(__xludf.DUMMYFUNCTION("""COMPUTED_VALUE"""),105.5)</f>
        <v>105.5</v>
      </c>
      <c r="I8" s="17" t="str">
        <f>IFERROR(__xludf.DUMMYFUNCTION("""COMPUTED_VALUE"""),"Delivered")</f>
        <v>Delivered</v>
      </c>
      <c r="J8" s="18">
        <f>IFERROR(__xludf.DUMMYFUNCTION("""COMPUTED_VALUE"""),45893.2530324074)</f>
        <v>45893.25303</v>
      </c>
    </row>
    <row r="9">
      <c r="A9" s="18">
        <f>IFERROR(__xludf.DUMMYFUNCTION("""COMPUTED_VALUE"""),45892.228217592594)</f>
        <v>45892.22822</v>
      </c>
      <c r="B9" s="17" t="str">
        <f>IFERROR(__xludf.DUMMYFUNCTION("""COMPUTED_VALUE"""),"Martin 1 sole 43")</f>
        <v>Martin 1 sole 43</v>
      </c>
      <c r="C9" s="17" t="str">
        <f>IFERROR(__xludf.DUMMYFUNCTION("""COMPUTED_VALUE"""),"Chandra Bohara")</f>
        <v>Chandra Bohara</v>
      </c>
      <c r="D9" s="17" t="str">
        <f>IFERROR(__xludf.DUMMYFUNCTION("""COMPUTED_VALUE"""),"Dadeldhura, bagbazzar tufandadko check najik police bit")</f>
        <v>Dadeldhura, bagbazzar tufandadko check najik police bit</v>
      </c>
      <c r="E9" s="17">
        <f>IFERROR(__xludf.DUMMYFUNCTION("""COMPUTED_VALUE"""),9.865629618E9)</f>
        <v>9865629618</v>
      </c>
      <c r="F9" s="19">
        <f>IFERROR(__xludf.DUMMYFUNCTION("""COMPUTED_VALUE"""),450.0)</f>
        <v>450</v>
      </c>
      <c r="G9" s="19">
        <f>IFERROR(__xludf.DUMMYFUNCTION("""COMPUTED_VALUE"""),1350.0)</f>
        <v>1350</v>
      </c>
      <c r="H9" s="19">
        <f>IFERROR(__xludf.DUMMYFUNCTION("""COMPUTED_VALUE"""),182.38)</f>
        <v>182.38</v>
      </c>
      <c r="I9" s="17" t="str">
        <f>IFERROR(__xludf.DUMMYFUNCTION("""COMPUTED_VALUE"""),"Delivered")</f>
        <v>Delivered</v>
      </c>
      <c r="J9" s="18">
        <f>IFERROR(__xludf.DUMMYFUNCTION("""COMPUTED_VALUE"""),45895.355046296296)</f>
        <v>45895.35505</v>
      </c>
    </row>
    <row r="10">
      <c r="A10" s="18">
        <f>IFERROR(__xludf.DUMMYFUNCTION("""COMPUTED_VALUE"""),45892.22659722222)</f>
        <v>45892.2266</v>
      </c>
      <c r="B10" s="17" t="str">
        <f>IFERROR(__xludf.DUMMYFUNCTION("""COMPUTED_VALUE"""),"Martin 2 sole 40")</f>
        <v>Martin 2 sole 40</v>
      </c>
      <c r="C10" s="17" t="str">
        <f>IFERROR(__xludf.DUMMYFUNCTION("""COMPUTED_VALUE"""),"Prabin Karki")</f>
        <v>Prabin Karki</v>
      </c>
      <c r="D10" s="17" t="str">
        <f>IFERROR(__xludf.DUMMYFUNCTION("""COMPUTED_VALUE"""),"Solukhumbu, tingla")</f>
        <v>Solukhumbu, tingla</v>
      </c>
      <c r="E10" s="17">
        <f>IFERROR(__xludf.DUMMYFUNCTION("""COMPUTED_VALUE"""),9.749215487E9)</f>
        <v>9749215487</v>
      </c>
      <c r="F10" s="19">
        <f>IFERROR(__xludf.DUMMYFUNCTION("""COMPUTED_VALUE"""),550.0)</f>
        <v>550</v>
      </c>
      <c r="G10" s="19">
        <f>IFERROR(__xludf.DUMMYFUNCTION("""COMPUTED_VALUE"""),1550.0)</f>
        <v>1550</v>
      </c>
      <c r="H10" s="19">
        <f>IFERROR(__xludf.DUMMYFUNCTION("""COMPUTED_VALUE"""),212.88)</f>
        <v>212.88</v>
      </c>
      <c r="I10" s="17" t="str">
        <f>IFERROR(__xludf.DUMMYFUNCTION("""COMPUTED_VALUE"""),"Delivered")</f>
        <v>Delivered</v>
      </c>
      <c r="J10" s="18">
        <f>IFERROR(__xludf.DUMMYFUNCTION("""COMPUTED_VALUE"""),45898.67103009259)</f>
        <v>45898.67103</v>
      </c>
    </row>
    <row r="11">
      <c r="A11" s="18">
        <f>IFERROR(__xludf.DUMMYFUNCTION("""COMPUTED_VALUE"""),45891.18746527778)</f>
        <v>45891.18747</v>
      </c>
      <c r="B11" s="17" t="str">
        <f>IFERROR(__xludf.DUMMYFUNCTION("""COMPUTED_VALUE"""),"Blue Nike size 42")</f>
        <v>Blue Nike size 42</v>
      </c>
      <c r="C11" s="17" t="str">
        <f>IFERROR(__xludf.DUMMYFUNCTION("""COMPUTED_VALUE"""),"Biraj Tamang")</f>
        <v>Biraj Tamang</v>
      </c>
      <c r="D11" s="17" t="str">
        <f>IFERROR(__xludf.DUMMYFUNCTION("""COMPUTED_VALUE"""),"Jhapa, budhabare or buddhashanti ")</f>
        <v>Jhapa, budhabare or buddhashanti </v>
      </c>
      <c r="E11" s="17">
        <f>IFERROR(__xludf.DUMMYFUNCTION("""COMPUTED_VALUE"""),9.702839214E9)</f>
        <v>9702839214</v>
      </c>
      <c r="F11" s="19">
        <f>IFERROR(__xludf.DUMMYFUNCTION("""COMPUTED_VALUE"""),350.0)</f>
        <v>350</v>
      </c>
      <c r="G11" s="19">
        <f>IFERROR(__xludf.DUMMYFUNCTION("""COMPUTED_VALUE"""),1350.0)</f>
        <v>1350</v>
      </c>
      <c r="H11" s="19">
        <f>IFERROR(__xludf.DUMMYFUNCTION("""COMPUTED_VALUE"""),182.38)</f>
        <v>182.38</v>
      </c>
      <c r="I11" s="17" t="str">
        <f>IFERROR(__xludf.DUMMYFUNCTION("""COMPUTED_VALUE"""),"Delivered")</f>
        <v>Delivered</v>
      </c>
      <c r="J11" s="18">
        <f>IFERROR(__xludf.DUMMYFUNCTION("""COMPUTED_VALUE"""),45894.39797453704)</f>
        <v>45894.39797</v>
      </c>
    </row>
    <row r="12">
      <c r="A12" s="18">
        <f>IFERROR(__xludf.DUMMYFUNCTION("""COMPUTED_VALUE"""),45891.18523148148)</f>
        <v>45891.18523</v>
      </c>
      <c r="B12" s="17" t="str">
        <f>IFERROR(__xludf.DUMMYFUNCTION("""COMPUTED_VALUE"""),"Red Nike 40")</f>
        <v>Red Nike 40</v>
      </c>
      <c r="C12" s="17" t="str">
        <f>IFERROR(__xludf.DUMMYFUNCTION("""COMPUTED_VALUE"""),"Sujan Jagebu Limbu")</f>
        <v>Sujan Jagebu Limbu</v>
      </c>
      <c r="D12" s="17" t="str">
        <f>IFERROR(__xludf.DUMMYFUNCTION("""COMPUTED_VALUE"""),"Jhapa, birtamod karat chowk Road no 1")</f>
        <v>Jhapa, birtamod karat chowk Road no 1</v>
      </c>
      <c r="E12" s="17">
        <f>IFERROR(__xludf.DUMMYFUNCTION("""COMPUTED_VALUE"""),9.700427269E9)</f>
        <v>9700427269</v>
      </c>
      <c r="F12" s="19">
        <f>IFERROR(__xludf.DUMMYFUNCTION("""COMPUTED_VALUE"""),450.0)</f>
        <v>450</v>
      </c>
      <c r="G12" s="19">
        <f>IFERROR(__xludf.DUMMYFUNCTION("""COMPUTED_VALUE"""),1350.0)</f>
        <v>1350</v>
      </c>
      <c r="H12" s="19">
        <f>IFERROR(__xludf.DUMMYFUNCTION("""COMPUTED_VALUE"""),182.38)</f>
        <v>182.38</v>
      </c>
      <c r="I12" s="17" t="str">
        <f>IFERROR(__xludf.DUMMYFUNCTION("""COMPUTED_VALUE"""),"Delivered")</f>
        <v>Delivered</v>
      </c>
      <c r="J12" s="18">
        <f>IFERROR(__xludf.DUMMYFUNCTION("""COMPUTED_VALUE"""),45893.449965277774)</f>
        <v>45893.44997</v>
      </c>
    </row>
    <row r="13">
      <c r="A13" s="18">
        <f>IFERROR(__xludf.DUMMYFUNCTION("""COMPUTED_VALUE"""),45890.17833333333)</f>
        <v>45890.17833</v>
      </c>
      <c r="B13" s="17" t="str">
        <f>IFERROR(__xludf.DUMMYFUNCTION("""COMPUTED_VALUE"""),"Casual Adidas shoes 41")</f>
        <v>Casual Adidas shoes 41</v>
      </c>
      <c r="C13" s="17" t="str">
        <f>IFERROR(__xludf.DUMMYFUNCTION("""COMPUTED_VALUE"""),"Asmirt Tamang")</f>
        <v>Asmirt Tamang</v>
      </c>
      <c r="D13" s="17" t="str">
        <f>IFERROR(__xludf.DUMMYFUNCTION("""COMPUTED_VALUE"""),"Pokhara")</f>
        <v>Pokhara</v>
      </c>
      <c r="E13" s="17">
        <f>IFERROR(__xludf.DUMMYFUNCTION("""COMPUTED_VALUE"""),9.703252518E9)</f>
        <v>9703252518</v>
      </c>
      <c r="F13" s="19">
        <f>IFERROR(__xludf.DUMMYFUNCTION("""COMPUTED_VALUE"""),450.0)</f>
        <v>450</v>
      </c>
      <c r="G13" s="19">
        <f>IFERROR(__xludf.DUMMYFUNCTION("""COMPUTED_VALUE"""),1450.0)</f>
        <v>1450</v>
      </c>
      <c r="H13" s="19">
        <f>IFERROR(__xludf.DUMMYFUNCTION("""COMPUTED_VALUE"""),162.63)</f>
        <v>162.63</v>
      </c>
      <c r="I13" s="17" t="str">
        <f>IFERROR(__xludf.DUMMYFUNCTION("""COMPUTED_VALUE"""),"Delivered")</f>
        <v>Delivered</v>
      </c>
      <c r="J13" s="18">
        <f>IFERROR(__xludf.DUMMYFUNCTION("""COMPUTED_VALUE"""),45893.31458333333)</f>
        <v>45893.31458</v>
      </c>
    </row>
    <row r="14">
      <c r="A14" s="18">
        <f>IFERROR(__xludf.DUMMYFUNCTION("""COMPUTED_VALUE"""),45890.17673611111)</f>
        <v>45890.17674</v>
      </c>
      <c r="B14" s="17" t="str">
        <f>IFERROR(__xludf.DUMMYFUNCTION("""COMPUTED_VALUE"""),"Martin 2 sole 39 nayabasti")</f>
        <v>Martin 2 sole 39 nayabasti</v>
      </c>
      <c r="C14" s="17" t="str">
        <f>IFERROR(__xludf.DUMMYFUNCTION("""COMPUTED_VALUE"""),"Anil Khadgi")</f>
        <v>Anil Khadgi</v>
      </c>
      <c r="D14" s="17" t="str">
        <f>IFERROR(__xludf.DUMMYFUNCTION("""COMPUTED_VALUE"""),"Sitapaila mathi ramkot")</f>
        <v>Sitapaila mathi ramkot</v>
      </c>
      <c r="E14" s="17">
        <f>IFERROR(__xludf.DUMMYFUNCTION("""COMPUTED_VALUE"""),9.803874775E9)</f>
        <v>9803874775</v>
      </c>
      <c r="F14" s="19">
        <f>IFERROR(__xludf.DUMMYFUNCTION("""COMPUTED_VALUE"""),500.0)</f>
        <v>500</v>
      </c>
      <c r="G14" s="19">
        <f>IFERROR(__xludf.DUMMYFUNCTION("""COMPUTED_VALUE"""),1500.0)</f>
        <v>1500</v>
      </c>
      <c r="H14" s="19">
        <f>IFERROR(__xludf.DUMMYFUNCTION("""COMPUTED_VALUE"""),102.75)</f>
        <v>102.75</v>
      </c>
      <c r="I14" s="17" t="str">
        <f>IFERROR(__xludf.DUMMYFUNCTION("""COMPUTED_VALUE"""),"Delivered")</f>
        <v>Delivered</v>
      </c>
      <c r="J14" s="18">
        <f>IFERROR(__xludf.DUMMYFUNCTION("""COMPUTED_VALUE"""),45890.50582175926)</f>
        <v>45890.50582</v>
      </c>
    </row>
    <row r="15">
      <c r="A15" s="18">
        <f>IFERROR(__xludf.DUMMYFUNCTION("""COMPUTED_VALUE"""),45890.17537037037)</f>
        <v>45890.17537</v>
      </c>
      <c r="B15" s="17" t="str">
        <f>IFERROR(__xludf.DUMMYFUNCTION("""COMPUTED_VALUE"""),"Martin 3 sole size 43")</f>
        <v>Martin 3 sole size 43</v>
      </c>
      <c r="C15" s="17" t="str">
        <f>IFERROR(__xludf.DUMMYFUNCTION("""COMPUTED_VALUE"""),"Bikash")</f>
        <v>Bikash</v>
      </c>
      <c r="D15" s="17" t="str">
        <f>IFERROR(__xludf.DUMMYFUNCTION("""COMPUTED_VALUE"""),"Rolpa, ghartghau")</f>
        <v>Rolpa, ghartghau</v>
      </c>
      <c r="E15" s="17">
        <f>IFERROR(__xludf.DUMMYFUNCTION("""COMPUTED_VALUE"""),9.765840359E9)</f>
        <v>9765840359</v>
      </c>
      <c r="F15" s="19">
        <f>IFERROR(__xludf.DUMMYFUNCTION("""COMPUTED_VALUE"""),650.0)</f>
        <v>650</v>
      </c>
      <c r="G15" s="19">
        <f>IFERROR(__xludf.DUMMYFUNCTION("""COMPUTED_VALUE"""),1650.0)</f>
        <v>1650</v>
      </c>
      <c r="H15" s="19">
        <f>IFERROR(__xludf.DUMMYFUNCTION("""COMPUTED_VALUE"""),213.13)</f>
        <v>213.13</v>
      </c>
      <c r="I15" s="17" t="str">
        <f>IFERROR(__xludf.DUMMYFUNCTION("""COMPUTED_VALUE"""),"Delivered")</f>
        <v>Delivered</v>
      </c>
      <c r="J15" s="18">
        <f>IFERROR(__xludf.DUMMYFUNCTION("""COMPUTED_VALUE"""),45895.638506944444)</f>
        <v>45895.63851</v>
      </c>
    </row>
    <row r="16">
      <c r="A16" s="18">
        <f>IFERROR(__xludf.DUMMYFUNCTION("""COMPUTED_VALUE"""),45889.17605324074)</f>
        <v>45889.17605</v>
      </c>
      <c r="B16" s="17" t="str">
        <f>IFERROR(__xludf.DUMMYFUNCTION("""COMPUTED_VALUE"""),"Chelsea size 43")</f>
        <v>Chelsea size 43</v>
      </c>
      <c r="C16" s="17" t="str">
        <f>IFERROR(__xludf.DUMMYFUNCTION("""COMPUTED_VALUE"""),"Dipendra Chaudhari")</f>
        <v>Dipendra Chaudhari</v>
      </c>
      <c r="D16" s="17" t="str">
        <f>IFERROR(__xludf.DUMMYFUNCTION("""COMPUTED_VALUE"""),"Chitwan, madi")</f>
        <v>Chitwan, madi</v>
      </c>
      <c r="E16" s="17">
        <f>IFERROR(__xludf.DUMMYFUNCTION("""COMPUTED_VALUE"""),9.807289391E9)</f>
        <v>9807289391</v>
      </c>
      <c r="F16" s="19">
        <f>IFERROR(__xludf.DUMMYFUNCTION("""COMPUTED_VALUE"""),450.0)</f>
        <v>450</v>
      </c>
      <c r="G16" s="19">
        <f>IFERROR(__xludf.DUMMYFUNCTION("""COMPUTED_VALUE"""),1450.0)</f>
        <v>1450</v>
      </c>
      <c r="H16" s="19">
        <f>IFERROR(__xludf.DUMMYFUNCTION("""COMPUTED_VALUE"""),162.63)</f>
        <v>162.63</v>
      </c>
      <c r="I16" s="17" t="str">
        <f>IFERROR(__xludf.DUMMYFUNCTION("""COMPUTED_VALUE"""),"Delivered")</f>
        <v>Delivered</v>
      </c>
      <c r="J16" s="18">
        <f>IFERROR(__xludf.DUMMYFUNCTION("""COMPUTED_VALUE"""),45891.61177083333)</f>
        <v>45891.61177</v>
      </c>
    </row>
    <row r="17">
      <c r="A17" s="18">
        <f>IFERROR(__xludf.DUMMYFUNCTION("""COMPUTED_VALUE"""),45889.1749074074)</f>
        <v>45889.17491</v>
      </c>
      <c r="B17" s="17" t="str">
        <f>IFERROR(__xludf.DUMMYFUNCTION("""COMPUTED_VALUE"""),"Martin 3 sole size 41")</f>
        <v>Martin 3 sole size 41</v>
      </c>
      <c r="C17" s="17" t="str">
        <f>IFERROR(__xludf.DUMMYFUNCTION("""COMPUTED_VALUE"""),"Ninam Rai")</f>
        <v>Ninam Rai</v>
      </c>
      <c r="D17" s="17" t="str">
        <f>IFERROR(__xludf.DUMMYFUNCTION("""COMPUTED_VALUE"""),"Taplejung")</f>
        <v>Taplejung</v>
      </c>
      <c r="E17" s="17">
        <f>IFERROR(__xludf.DUMMYFUNCTION("""COMPUTED_VALUE"""),9.767381711E9)</f>
        <v>9767381711</v>
      </c>
      <c r="F17" s="19">
        <f>IFERROR(__xludf.DUMMYFUNCTION("""COMPUTED_VALUE"""),550.0)</f>
        <v>550</v>
      </c>
      <c r="G17" s="19">
        <f>IFERROR(__xludf.DUMMYFUNCTION("""COMPUTED_VALUE"""),1550.0)</f>
        <v>1550</v>
      </c>
      <c r="H17" s="19">
        <f>IFERROR(__xludf.DUMMYFUNCTION("""COMPUTED_VALUE"""),212.88)</f>
        <v>212.88</v>
      </c>
      <c r="I17" s="17" t="str">
        <f>IFERROR(__xludf.DUMMYFUNCTION("""COMPUTED_VALUE"""),"Delivered")</f>
        <v>Delivered</v>
      </c>
      <c r="J17" s="18">
        <f>IFERROR(__xludf.DUMMYFUNCTION("""COMPUTED_VALUE"""),45895.23165509259)</f>
        <v>45895.23166</v>
      </c>
    </row>
    <row r="18">
      <c r="A18" s="18">
        <f>IFERROR(__xludf.DUMMYFUNCTION("""COMPUTED_VALUE"""),45889.17271990741)</f>
        <v>45889.17272</v>
      </c>
      <c r="B18" s="17" t="str">
        <f>IFERROR(__xludf.DUMMYFUNCTION("""COMPUTED_VALUE"""),"Converse black size 40")</f>
        <v>Converse black size 40</v>
      </c>
      <c r="C18" s="17" t="str">
        <f>IFERROR(__xludf.DUMMYFUNCTION("""COMPUTED_VALUE"""),"Ajeet Khadka")</f>
        <v>Ajeet Khadka</v>
      </c>
      <c r="D18" s="17" t="str">
        <f>IFERROR(__xludf.DUMMYFUNCTION("""COMPUTED_VALUE"""),"Bhaktapur, bageswari changunarayan nabarpalika wada no 7")</f>
        <v>Bhaktapur, bageswari changunarayan nabarpalika wada no 7</v>
      </c>
      <c r="E18" s="17">
        <f>IFERROR(__xludf.DUMMYFUNCTION("""COMPUTED_VALUE"""),9.860944595E9)</f>
        <v>9860944595</v>
      </c>
      <c r="F18" s="19">
        <f>IFERROR(__xludf.DUMMYFUNCTION("""COMPUTED_VALUE"""),500.0)</f>
        <v>500</v>
      </c>
      <c r="G18" s="19">
        <f>IFERROR(__xludf.DUMMYFUNCTION("""COMPUTED_VALUE"""),1300.0)</f>
        <v>1300</v>
      </c>
      <c r="H18" s="19">
        <f>IFERROR(__xludf.DUMMYFUNCTION("""COMPUTED_VALUE"""),182.25)</f>
        <v>182.25</v>
      </c>
      <c r="I18" s="17" t="str">
        <f>IFERROR(__xludf.DUMMYFUNCTION("""COMPUTED_VALUE"""),"Delivered")</f>
        <v>Delivered</v>
      </c>
      <c r="J18" s="18">
        <f>IFERROR(__xludf.DUMMYFUNCTION("""COMPUTED_VALUE"""),45890.36565972222)</f>
        <v>45890.36566</v>
      </c>
    </row>
    <row r="19">
      <c r="A19" s="18">
        <f>IFERROR(__xludf.DUMMYFUNCTION("""COMPUTED_VALUE"""),45888.17891203704)</f>
        <v>45888.17891</v>
      </c>
      <c r="B19" s="17" t="str">
        <f>IFERROR(__xludf.DUMMYFUNCTION("""COMPUTED_VALUE"""),"Martin single 41 and 42")</f>
        <v>Martin single 41 and 42</v>
      </c>
      <c r="C19" s="17" t="str">
        <f>IFERROR(__xludf.DUMMYFUNCTION("""COMPUTED_VALUE"""),"Sitaram Pun")</f>
        <v>Sitaram Pun</v>
      </c>
      <c r="D19" s="17" t="str">
        <f>IFERROR(__xludf.DUMMYFUNCTION("""COMPUTED_VALUE"""),"Pyuthan, sari")</f>
        <v>Pyuthan, sari</v>
      </c>
      <c r="E19" s="17">
        <f>IFERROR(__xludf.DUMMYFUNCTION("""COMPUTED_VALUE"""),9.762095448E9)</f>
        <v>9762095448</v>
      </c>
      <c r="F19" s="19">
        <f>IFERROR(__xludf.DUMMYFUNCTION("""COMPUTED_VALUE"""),550.0)</f>
        <v>550</v>
      </c>
      <c r="G19" s="19">
        <f>IFERROR(__xludf.DUMMYFUNCTION("""COMPUTED_VALUE"""),2550.0)</f>
        <v>2550</v>
      </c>
      <c r="H19" s="19">
        <f>IFERROR(__xludf.DUMMYFUNCTION("""COMPUTED_VALUE"""),185.38)</f>
        <v>185.38</v>
      </c>
      <c r="I19" s="17" t="str">
        <f>IFERROR(__xludf.DUMMYFUNCTION("""COMPUTED_VALUE"""),"Delivered")</f>
        <v>Delivered</v>
      </c>
      <c r="J19" s="18">
        <f>IFERROR(__xludf.DUMMYFUNCTION("""COMPUTED_VALUE"""),45893.495370370365)</f>
        <v>45893.49537</v>
      </c>
    </row>
    <row r="20">
      <c r="A20" s="18">
        <f>IFERROR(__xludf.DUMMYFUNCTION("""COMPUTED_VALUE"""),45888.17722222222)</f>
        <v>45888.17722</v>
      </c>
      <c r="B20" s="17" t="str">
        <f>IFERROR(__xludf.DUMMYFUNCTION("""COMPUTED_VALUE"""),"Martin 3 sole size  39")</f>
        <v>Martin 3 sole size  39</v>
      </c>
      <c r="C20" s="17" t="str">
        <f>IFERROR(__xludf.DUMMYFUNCTION("""COMPUTED_VALUE"""),"Bali Rawat")</f>
        <v>Bali Rawat</v>
      </c>
      <c r="D20" s="17" t="str">
        <f>IFERROR(__xludf.DUMMYFUNCTION("""COMPUTED_VALUE"""),"Nepalgunj, muktpur 12, haltpost najik")</f>
        <v>Nepalgunj, muktpur 12, haltpost najik</v>
      </c>
      <c r="E20" s="17">
        <f>IFERROR(__xludf.DUMMYFUNCTION("""COMPUTED_VALUE"""),9.745506225E9)</f>
        <v>9745506225</v>
      </c>
      <c r="F20" s="19">
        <f>IFERROR(__xludf.DUMMYFUNCTION("""COMPUTED_VALUE"""),600.0)</f>
        <v>600</v>
      </c>
      <c r="G20" s="19">
        <f>IFERROR(__xludf.DUMMYFUNCTION("""COMPUTED_VALUE"""),1600.0)</f>
        <v>1600</v>
      </c>
      <c r="H20" s="19">
        <f>IFERROR(__xludf.DUMMYFUNCTION("""COMPUTED_VALUE"""),213.0)</f>
        <v>213</v>
      </c>
      <c r="I20" s="17" t="str">
        <f>IFERROR(__xludf.DUMMYFUNCTION("""COMPUTED_VALUE"""),"Delivered")</f>
        <v>Delivered</v>
      </c>
      <c r="J20" s="18">
        <f>IFERROR(__xludf.DUMMYFUNCTION("""COMPUTED_VALUE"""),45889.45898148148)</f>
        <v>45889.45898</v>
      </c>
    </row>
    <row r="21">
      <c r="A21" s="18">
        <f>IFERROR(__xludf.DUMMYFUNCTION("""COMPUTED_VALUE"""),45888.17445601852)</f>
        <v>45888.17446</v>
      </c>
      <c r="B21" s="17" t="str">
        <f>IFERROR(__xludf.DUMMYFUNCTION("""COMPUTED_VALUE"""),"Martin single 42")</f>
        <v>Martin single 42</v>
      </c>
      <c r="C21" s="17" t="str">
        <f>IFERROR(__xludf.DUMMYFUNCTION("""COMPUTED_VALUE"""),"Shree krishna")</f>
        <v>Shree krishna</v>
      </c>
      <c r="D21" s="17" t="str">
        <f>IFERROR(__xludf.DUMMYFUNCTION("""COMPUTED_VALUE"""),"Ghalate, bhaktapur")</f>
        <v>Ghalate, bhaktapur</v>
      </c>
      <c r="E21" s="17">
        <f>IFERROR(__xludf.DUMMYFUNCTION("""COMPUTED_VALUE"""),9.765007077E9)</f>
        <v>9765007077</v>
      </c>
      <c r="F21" s="19">
        <f>IFERROR(__xludf.DUMMYFUNCTION("""COMPUTED_VALUE"""),400.0)</f>
        <v>400</v>
      </c>
      <c r="G21" s="19">
        <f>IFERROR(__xludf.DUMMYFUNCTION("""COMPUTED_VALUE"""),1300.0)</f>
        <v>1300</v>
      </c>
      <c r="H21" s="19">
        <f>IFERROR(__xludf.DUMMYFUNCTION("""COMPUTED_VALUE"""),102.25)</f>
        <v>102.25</v>
      </c>
      <c r="I21" s="17" t="str">
        <f>IFERROR(__xludf.DUMMYFUNCTION("""COMPUTED_VALUE"""),"Delivered")</f>
        <v>Delivered</v>
      </c>
      <c r="J21" s="18">
        <f>IFERROR(__xludf.DUMMYFUNCTION("""COMPUTED_VALUE"""),45889.2105787037)</f>
        <v>45889.21058</v>
      </c>
    </row>
    <row r="22">
      <c r="A22" s="18">
        <f>IFERROR(__xludf.DUMMYFUNCTION("""COMPUTED_VALUE"""),45887.16681712963)</f>
        <v>45887.16682</v>
      </c>
      <c r="B22" s="17" t="str">
        <f>IFERROR(__xludf.DUMMYFUNCTION("""COMPUTED_VALUE"""),"Martin triple sole size 40")</f>
        <v>Martin triple sole size 40</v>
      </c>
      <c r="C22" s="17" t="str">
        <f>IFERROR(__xludf.DUMMYFUNCTION("""COMPUTED_VALUE"""),"Aashish Gautam")</f>
        <v>Aashish Gautam</v>
      </c>
      <c r="D22" s="17" t="str">
        <f>IFERROR(__xludf.DUMMYFUNCTION("""COMPUTED_VALUE"""),"Baitadi, patan, metallic municipality 7, kanda bazzar")</f>
        <v>Baitadi, patan, metallic municipality 7, kanda bazzar</v>
      </c>
      <c r="E22" s="17">
        <f>IFERROR(__xludf.DUMMYFUNCTION("""COMPUTED_VALUE"""),9.768483761E9)</f>
        <v>9768483761</v>
      </c>
      <c r="F22" s="19">
        <f>IFERROR(__xludf.DUMMYFUNCTION("""COMPUTED_VALUE"""),650.0)</f>
        <v>650</v>
      </c>
      <c r="G22" s="19">
        <f>IFERROR(__xludf.DUMMYFUNCTION("""COMPUTED_VALUE"""),1650.0)</f>
        <v>1650</v>
      </c>
      <c r="H22" s="19">
        <f>IFERROR(__xludf.DUMMYFUNCTION("""COMPUTED_VALUE"""),143.13)</f>
        <v>143.13</v>
      </c>
      <c r="I22" s="17" t="str">
        <f>IFERROR(__xludf.DUMMYFUNCTION("""COMPUTED_VALUE"""),"Delivered")</f>
        <v>Delivered</v>
      </c>
      <c r="J22" s="18">
        <f>IFERROR(__xludf.DUMMYFUNCTION("""COMPUTED_VALUE"""),45891.40899305556)</f>
        <v>45891.40899</v>
      </c>
    </row>
    <row r="23">
      <c r="A23" s="18">
        <f>IFERROR(__xludf.DUMMYFUNCTION("""COMPUTED_VALUE"""),45887.16091435185)</f>
        <v>45887.16091</v>
      </c>
      <c r="B23" s="17" t="str">
        <f>IFERROR(__xludf.DUMMYFUNCTION("""COMPUTED_VALUE"""),"Martin 3 sole size 40")</f>
        <v>Martin 3 sole size 40</v>
      </c>
      <c r="C23" s="17" t="str">
        <f>IFERROR(__xludf.DUMMYFUNCTION("""COMPUTED_VALUE"""),"Prince Shrestha")</f>
        <v>Prince Shrestha</v>
      </c>
      <c r="D23" s="17" t="str">
        <f>IFERROR(__xludf.DUMMYFUNCTION("""COMPUTED_VALUE"""),"Beni bazzar ")</f>
        <v>Beni bazzar </v>
      </c>
      <c r="E23" s="17">
        <f>IFERROR(__xludf.DUMMYFUNCTION("""COMPUTED_VALUE"""),9.765610848E9)</f>
        <v>9765610848</v>
      </c>
      <c r="F23" s="19">
        <f>IFERROR(__xludf.DUMMYFUNCTION("""COMPUTED_VALUE"""),650.0)</f>
        <v>650</v>
      </c>
      <c r="G23" s="19">
        <f>IFERROR(__xludf.DUMMYFUNCTION("""COMPUTED_VALUE"""),1650.0)</f>
        <v>1650</v>
      </c>
      <c r="H23" s="19">
        <f>IFERROR(__xludf.DUMMYFUNCTION("""COMPUTED_VALUE"""),183.13)</f>
        <v>183.13</v>
      </c>
      <c r="I23" s="17" t="str">
        <f>IFERROR(__xludf.DUMMYFUNCTION("""COMPUTED_VALUE"""),"Delivered")</f>
        <v>Delivered</v>
      </c>
      <c r="J23" s="18">
        <f>IFERROR(__xludf.DUMMYFUNCTION("""COMPUTED_VALUE"""),45891.24974537037)</f>
        <v>45891.24975</v>
      </c>
    </row>
    <row r="24">
      <c r="A24" s="18">
        <f>IFERROR(__xludf.DUMMYFUNCTION("""COMPUTED_VALUE"""),45886.18208333333)</f>
        <v>45886.18208</v>
      </c>
      <c r="B24" s="17" t="str">
        <f>IFERROR(__xludf.DUMMYFUNCTION("""COMPUTED_VALUE"""),"Nike 40 Black white ")</f>
        <v>Nike 40 Black white </v>
      </c>
      <c r="C24" s="17" t="str">
        <f>IFERROR(__xludf.DUMMYFUNCTION("""COMPUTED_VALUE"""),"Siddhartha Gautam")</f>
        <v>Siddhartha Gautam</v>
      </c>
      <c r="D24" s="17" t="str">
        <f>IFERROR(__xludf.DUMMYFUNCTION("""COMPUTED_VALUE"""),"Kathmandu,Balkot big mart, Brihaspati marga")</f>
        <v>Kathmandu,Balkot big mart, Brihaspati marga</v>
      </c>
      <c r="E24" s="17">
        <f>IFERROR(__xludf.DUMMYFUNCTION("""COMPUTED_VALUE"""),9.862541342E9)</f>
        <v>9862541342</v>
      </c>
      <c r="F24" s="19">
        <f>IFERROR(__xludf.DUMMYFUNCTION("""COMPUTED_VALUE"""),300.0)</f>
        <v>300</v>
      </c>
      <c r="G24" s="19">
        <f>IFERROR(__xludf.DUMMYFUNCTION("""COMPUTED_VALUE"""),1300.0)</f>
        <v>1300</v>
      </c>
      <c r="H24" s="19">
        <f>IFERROR(__xludf.DUMMYFUNCTION("""COMPUTED_VALUE"""),3.25)</f>
        <v>3.25</v>
      </c>
      <c r="I24" s="17" t="str">
        <f>IFERROR(__xludf.DUMMYFUNCTION("""COMPUTED_VALUE"""),"Delivered")</f>
        <v>Delivered</v>
      </c>
      <c r="J24" s="18">
        <f>IFERROR(__xludf.DUMMYFUNCTION("""COMPUTED_VALUE"""),45886.49072916667)</f>
        <v>45886.49073</v>
      </c>
    </row>
    <row r="25">
      <c r="A25" s="18">
        <f>IFERROR(__xludf.DUMMYFUNCTION("""COMPUTED_VALUE"""),45873.199583333335)</f>
        <v>45873.19958</v>
      </c>
      <c r="B25" s="17" t="str">
        <f>IFERROR(__xludf.DUMMYFUNCTION("""COMPUTED_VALUE"""),"Martin naysbasti 3 sole 41")</f>
        <v>Martin naysbasti 3 sole 41</v>
      </c>
      <c r="C25" s="17" t="str">
        <f>IFERROR(__xludf.DUMMYFUNCTION("""COMPUTED_VALUE"""),"Santosh")</f>
        <v>Santosh</v>
      </c>
      <c r="D25" s="17" t="str">
        <f>IFERROR(__xludf.DUMMYFUNCTION("""COMPUTED_VALUE"""),"Dang, ghorahi")</f>
        <v>Dang, ghorahi</v>
      </c>
      <c r="E25" s="17">
        <f>IFERROR(__xludf.DUMMYFUNCTION("""COMPUTED_VALUE"""),9.818118588E9)</f>
        <v>9818118588</v>
      </c>
      <c r="F25" s="19">
        <f>IFERROR(__xludf.DUMMYFUNCTION("""COMPUTED_VALUE"""),550.0)</f>
        <v>550</v>
      </c>
      <c r="G25" s="19">
        <f>IFERROR(__xludf.DUMMYFUNCTION("""COMPUTED_VALUE"""),1550.0)</f>
        <v>1550</v>
      </c>
      <c r="H25" s="19">
        <f>IFERROR(__xludf.DUMMYFUNCTION("""COMPUTED_VALUE"""),182.88)</f>
        <v>182.88</v>
      </c>
      <c r="I25" s="17" t="str">
        <f>IFERROR(__xludf.DUMMYFUNCTION("""COMPUTED_VALUE"""),"Delivered")</f>
        <v>Delivered</v>
      </c>
      <c r="J25" s="18">
        <f>IFERROR(__xludf.DUMMYFUNCTION("""COMPUTED_VALUE"""),45882.43194444444)</f>
        <v>45882.43194</v>
      </c>
    </row>
    <row r="26">
      <c r="A26" s="18">
        <f>IFERROR(__xludf.DUMMYFUNCTION("""COMPUTED_VALUE"""),45873.19865740741)</f>
        <v>45873.19866</v>
      </c>
      <c r="B26" s="17" t="str">
        <f>IFERROR(__xludf.DUMMYFUNCTION("""COMPUTED_VALUE"""),"Martin half 2 sole 39")</f>
        <v>Martin half 2 sole 39</v>
      </c>
      <c r="C26" s="17" t="str">
        <f>IFERROR(__xludf.DUMMYFUNCTION("""COMPUTED_VALUE"""),"Sudip Darnal")</f>
        <v>Sudip Darnal</v>
      </c>
      <c r="D26" s="17" t="str">
        <f>IFERROR(__xludf.DUMMYFUNCTION("""COMPUTED_VALUE"""),"Sangwale ward 4, sindhuli")</f>
        <v>Sangwale ward 4, sindhuli</v>
      </c>
      <c r="E26" s="17">
        <f>IFERROR(__xludf.DUMMYFUNCTION("""COMPUTED_VALUE"""),9.766529083E9)</f>
        <v>9766529083</v>
      </c>
      <c r="F26" s="19">
        <f>IFERROR(__xludf.DUMMYFUNCTION("""COMPUTED_VALUE"""),350.0)</f>
        <v>350</v>
      </c>
      <c r="G26" s="19">
        <f>IFERROR(__xludf.DUMMYFUNCTION("""COMPUTED_VALUE"""),1350.0)</f>
        <v>1350</v>
      </c>
      <c r="H26" s="19">
        <f>IFERROR(__xludf.DUMMYFUNCTION("""COMPUTED_VALUE"""),162.38)</f>
        <v>162.38</v>
      </c>
      <c r="I26" s="17" t="str">
        <f>IFERROR(__xludf.DUMMYFUNCTION("""COMPUTED_VALUE"""),"Delivered")</f>
        <v>Delivered</v>
      </c>
      <c r="J26" s="18">
        <f>IFERROR(__xludf.DUMMYFUNCTION("""COMPUTED_VALUE"""),45877.46166666667)</f>
        <v>45877.46167</v>
      </c>
    </row>
    <row r="27">
      <c r="A27" s="18">
        <f>IFERROR(__xludf.DUMMYFUNCTION("""COMPUTED_VALUE"""),45872.17322916667)</f>
        <v>45872.17323</v>
      </c>
      <c r="B27" s="17" t="str">
        <f>IFERROR(__xludf.DUMMYFUNCTION("""COMPUTED_VALUE"""),"Sr smile 41")</f>
        <v>Sr smile 41</v>
      </c>
      <c r="C27" s="17" t="str">
        <f>IFERROR(__xludf.DUMMYFUNCTION("""COMPUTED_VALUE"""),"Bibash Thapa")</f>
        <v>Bibash Thapa</v>
      </c>
      <c r="D27" s="17" t="str">
        <f>IFERROR(__xludf.DUMMYFUNCTION("""COMPUTED_VALUE"""),"Gulariya 6, bardiya")</f>
        <v>Gulariya 6, bardiya</v>
      </c>
      <c r="E27" s="17">
        <f>IFERROR(__xludf.DUMMYFUNCTION("""COMPUTED_VALUE"""),9.816523777E9)</f>
        <v>9816523777</v>
      </c>
      <c r="F27" s="19">
        <f>IFERROR(__xludf.DUMMYFUNCTION("""COMPUTED_VALUE"""),450.0)</f>
        <v>450</v>
      </c>
      <c r="G27" s="19">
        <f>IFERROR(__xludf.DUMMYFUNCTION("""COMPUTED_VALUE"""),1450.0)</f>
        <v>1450</v>
      </c>
      <c r="H27" s="19">
        <f>IFERROR(__xludf.DUMMYFUNCTION("""COMPUTED_VALUE"""),182.63)</f>
        <v>182.63</v>
      </c>
      <c r="I27" s="17" t="str">
        <f>IFERROR(__xludf.DUMMYFUNCTION("""COMPUTED_VALUE"""),"Delivered")</f>
        <v>Delivered</v>
      </c>
      <c r="J27" s="18">
        <f>IFERROR(__xludf.DUMMYFUNCTION("""COMPUTED_VALUE"""),45873.35476851852)</f>
        <v>45873.35477</v>
      </c>
    </row>
    <row r="28">
      <c r="A28" s="18">
        <f>IFERROR(__xludf.DUMMYFUNCTION("""COMPUTED_VALUE"""),45872.17152777778)</f>
        <v>45872.17153</v>
      </c>
      <c r="B28" s="17" t="str">
        <f>IFERROR(__xludf.DUMMYFUNCTION("""COMPUTED_VALUE"""),"Martin nayabasti factory 40")</f>
        <v>Martin nayabasti factory 40</v>
      </c>
      <c r="C28" s="17" t="str">
        <f>IFERROR(__xludf.DUMMYFUNCTION("""COMPUTED_VALUE"""),"Nischal Tamang")</f>
        <v>Nischal Tamang</v>
      </c>
      <c r="D28" s="17" t="str">
        <f>IFERROR(__xludf.DUMMYFUNCTION("""COMPUTED_VALUE"""),"Dingla, bhojpur")</f>
        <v>Dingla, bhojpur</v>
      </c>
      <c r="E28" s="17">
        <f>IFERROR(__xludf.DUMMYFUNCTION("""COMPUTED_VALUE"""),9.820330404E9)</f>
        <v>9820330404</v>
      </c>
      <c r="F28" s="19">
        <f>IFERROR(__xludf.DUMMYFUNCTION("""COMPUTED_VALUE"""),550.0)</f>
        <v>550</v>
      </c>
      <c r="G28" s="19">
        <f>IFERROR(__xludf.DUMMYFUNCTION("""COMPUTED_VALUE"""),1550.0)</f>
        <v>1550</v>
      </c>
      <c r="H28" s="19">
        <f>IFERROR(__xludf.DUMMYFUNCTION("""COMPUTED_VALUE"""),212.88)</f>
        <v>212.88</v>
      </c>
      <c r="I28" s="17" t="str">
        <f>IFERROR(__xludf.DUMMYFUNCTION("""COMPUTED_VALUE"""),"Delivered")</f>
        <v>Delivered</v>
      </c>
      <c r="J28" s="18">
        <f>IFERROR(__xludf.DUMMYFUNCTION("""COMPUTED_VALUE"""),45875.59798611111)</f>
        <v>45875.59799</v>
      </c>
    </row>
    <row r="29">
      <c r="A29" s="18">
        <f>IFERROR(__xludf.DUMMYFUNCTION("""COMPUTED_VALUE"""),45872.17049768519)</f>
        <v>45872.1705</v>
      </c>
      <c r="B29" s="17" t="str">
        <f>IFERROR(__xludf.DUMMYFUNCTION("""COMPUTED_VALUE"""),"Martin single sole 42")</f>
        <v>Martin single sole 42</v>
      </c>
      <c r="C29" s="17" t="str">
        <f>IFERROR(__xludf.DUMMYFUNCTION("""COMPUTED_VALUE"""),"Rohan Bam")</f>
        <v>Rohan Bam</v>
      </c>
      <c r="D29" s="17" t="str">
        <f>IFERROR(__xludf.DUMMYFUNCTION("""COMPUTED_VALUE"""),"Bardageriya gaupalika, ward no 2, kumbiya, kailali")</f>
        <v>Bardageriya gaupalika, ward no 2, kumbiya, kailali</v>
      </c>
      <c r="E29" s="17">
        <f>IFERROR(__xludf.DUMMYFUNCTION("""COMPUTED_VALUE"""),9.815663088E9)</f>
        <v>9815663088</v>
      </c>
      <c r="F29" s="19">
        <f>IFERROR(__xludf.DUMMYFUNCTION("""COMPUTED_VALUE"""),350.0)</f>
        <v>350</v>
      </c>
      <c r="G29" s="19">
        <f>IFERROR(__xludf.DUMMYFUNCTION("""COMPUTED_VALUE"""),1350.0)</f>
        <v>1350</v>
      </c>
      <c r="H29" s="19">
        <f>IFERROR(__xludf.DUMMYFUNCTION("""COMPUTED_VALUE"""),182.38)</f>
        <v>182.38</v>
      </c>
      <c r="I29" s="17" t="str">
        <f>IFERROR(__xludf.DUMMYFUNCTION("""COMPUTED_VALUE"""),"Delivered")</f>
        <v>Delivered</v>
      </c>
      <c r="J29" s="18">
        <f>IFERROR(__xludf.DUMMYFUNCTION("""COMPUTED_VALUE"""),45877.282442129625)</f>
        <v>45877.28244</v>
      </c>
    </row>
    <row r="30">
      <c r="A30" s="18">
        <f>IFERROR(__xludf.DUMMYFUNCTION("""COMPUTED_VALUE"""),45869.2041087963)</f>
        <v>45869.20411</v>
      </c>
      <c r="B30" s="17" t="str">
        <f>IFERROR(__xludf.DUMMYFUNCTION("""COMPUTED_VALUE"""),"Martin single sole 41")</f>
        <v>Martin single sole 41</v>
      </c>
      <c r="C30" s="17" t="str">
        <f>IFERROR(__xludf.DUMMYFUNCTION("""COMPUTED_VALUE"""),"Santosh Pariyar")</f>
        <v>Santosh Pariyar</v>
      </c>
      <c r="D30" s="17" t="str">
        <f>IFERROR(__xludf.DUMMYFUNCTION("""COMPUTED_VALUE"""),"Gogli chowk, dang")</f>
        <v>Gogli chowk, dang</v>
      </c>
      <c r="E30" s="17">
        <f>IFERROR(__xludf.DUMMYFUNCTION("""COMPUTED_VALUE"""),9.706877325E9)</f>
        <v>9706877325</v>
      </c>
      <c r="F30" s="19">
        <f>IFERROR(__xludf.DUMMYFUNCTION("""COMPUTED_VALUE"""),350.0)</f>
        <v>350</v>
      </c>
      <c r="G30" s="19">
        <f>IFERROR(__xludf.DUMMYFUNCTION("""COMPUTED_VALUE"""),1350.0)</f>
        <v>1350</v>
      </c>
      <c r="H30" s="19">
        <f>IFERROR(__xludf.DUMMYFUNCTION("""COMPUTED_VALUE"""),182.38)</f>
        <v>182.38</v>
      </c>
      <c r="I30" s="17" t="str">
        <f>IFERROR(__xludf.DUMMYFUNCTION("""COMPUTED_VALUE"""),"Delivered")</f>
        <v>Delivered</v>
      </c>
      <c r="J30" s="18">
        <f>IFERROR(__xludf.DUMMYFUNCTION("""COMPUTED_VALUE"""),45872.361342592594)</f>
        <v>45872.36134</v>
      </c>
    </row>
    <row r="31">
      <c r="A31" s="18">
        <f>IFERROR(__xludf.DUMMYFUNCTION("""COMPUTED_VALUE"""),45869.20298611111)</f>
        <v>45869.20299</v>
      </c>
      <c r="B31" s="17" t="str">
        <f>IFERROR(__xludf.DUMMYFUNCTION("""COMPUTED_VALUE"""),"Sr gray 42")</f>
        <v>Sr gray 42</v>
      </c>
      <c r="C31" s="17" t="str">
        <f>IFERROR(__xludf.DUMMYFUNCTION("""COMPUTED_VALUE"""),"Subarth Kunwar")</f>
        <v>Subarth Kunwar</v>
      </c>
      <c r="D31" s="17" t="str">
        <f>IFERROR(__xludf.DUMMYFUNCTION("""COMPUTED_VALUE"""),"Baneshwor soa and swimming pool or ananda events and meeting")</f>
        <v>Baneshwor soa and swimming pool or ananda events and meeting</v>
      </c>
      <c r="E31" s="17">
        <f>IFERROR(__xludf.DUMMYFUNCTION("""COMPUTED_VALUE"""),9.763313182E9)</f>
        <v>9763313182</v>
      </c>
      <c r="F31" s="19">
        <f>IFERROR(__xludf.DUMMYFUNCTION("""COMPUTED_VALUE"""),400.0)</f>
        <v>400</v>
      </c>
      <c r="G31" s="19">
        <f>IFERROR(__xludf.DUMMYFUNCTION("""COMPUTED_VALUE"""),1400.0)</f>
        <v>1400</v>
      </c>
      <c r="H31" s="19">
        <f>IFERROR(__xludf.DUMMYFUNCTION("""COMPUTED_VALUE"""),102.5)</f>
        <v>102.5</v>
      </c>
      <c r="I31" s="17" t="str">
        <f>IFERROR(__xludf.DUMMYFUNCTION("""COMPUTED_VALUE"""),"Delivered")</f>
        <v>Delivered</v>
      </c>
      <c r="J31" s="18">
        <f>IFERROR(__xludf.DUMMYFUNCTION("""COMPUTED_VALUE"""),45869.45903935185)</f>
        <v>45869.45904</v>
      </c>
    </row>
    <row r="32">
      <c r="A32" s="18">
        <f>IFERROR(__xludf.DUMMYFUNCTION("""COMPUTED_VALUE"""),45867.21146990741)</f>
        <v>45867.21147</v>
      </c>
      <c r="B32" s="17" t="str">
        <f>IFERROR(__xludf.DUMMYFUNCTION("""COMPUTED_VALUE"""),"Nie 11 red and black")</f>
        <v>Nie 11 red and black</v>
      </c>
      <c r="C32" s="17" t="str">
        <f>IFERROR(__xludf.DUMMYFUNCTION("""COMPUTED_VALUE"""),"Raj Thegim Limbu")</f>
        <v>Raj Thegim Limbu</v>
      </c>
      <c r="D32" s="17" t="str">
        <f>IFERROR(__xludf.DUMMYFUNCTION("""COMPUTED_VALUE"""),"Jalthal, jhapa")</f>
        <v>Jalthal, jhapa</v>
      </c>
      <c r="E32" s="17">
        <f>IFERROR(__xludf.DUMMYFUNCTION("""COMPUTED_VALUE"""),9.814977789E9)</f>
        <v>9814977789</v>
      </c>
      <c r="F32" s="19">
        <f>IFERROR(__xludf.DUMMYFUNCTION("""COMPUTED_VALUE"""),700.0)</f>
        <v>700</v>
      </c>
      <c r="G32" s="19">
        <f>IFERROR(__xludf.DUMMYFUNCTION("""COMPUTED_VALUE"""),2500.0)</f>
        <v>2500</v>
      </c>
      <c r="H32" s="19">
        <f>IFERROR(__xludf.DUMMYFUNCTION("""COMPUTED_VALUE"""),185.25)</f>
        <v>185.25</v>
      </c>
      <c r="I32" s="17" t="str">
        <f>IFERROR(__xludf.DUMMYFUNCTION("""COMPUTED_VALUE"""),"Delivered")</f>
        <v>Delivered</v>
      </c>
      <c r="J32" s="18">
        <f>IFERROR(__xludf.DUMMYFUNCTION("""COMPUTED_VALUE"""),45870.19578703704)</f>
        <v>45870.19579</v>
      </c>
    </row>
    <row r="33">
      <c r="A33" s="18">
        <f>IFERROR(__xludf.DUMMYFUNCTION("""COMPUTED_VALUE"""),45867.20958333333)</f>
        <v>45867.20958</v>
      </c>
      <c r="B33" s="17" t="str">
        <f>IFERROR(__xludf.DUMMYFUNCTION("""COMPUTED_VALUE"""),"White Nike 37")</f>
        <v>White Nike 37</v>
      </c>
      <c r="C33" s="17" t="str">
        <f>IFERROR(__xludf.DUMMYFUNCTION("""COMPUTED_VALUE"""),"Gaurav Jaiswal")</f>
        <v>Gaurav Jaiswal</v>
      </c>
      <c r="D33" s="17" t="str">
        <f>IFERROR(__xludf.DUMMYFUNCTION("""COMPUTED_VALUE"""),"Nepalgunj, dhamboji chowk siddhartha Bank najik")</f>
        <v>Nepalgunj, dhamboji chowk siddhartha Bank najik</v>
      </c>
      <c r="E33" s="17">
        <f>IFERROR(__xludf.DUMMYFUNCTION("""COMPUTED_VALUE"""),9.762065388E9)</f>
        <v>9762065388</v>
      </c>
      <c r="F33" s="19">
        <f>IFERROR(__xludf.DUMMYFUNCTION("""COMPUTED_VALUE"""),350.0)</f>
        <v>350</v>
      </c>
      <c r="G33" s="19">
        <f>IFERROR(__xludf.DUMMYFUNCTION("""COMPUTED_VALUE"""),1350.0)</f>
        <v>1350</v>
      </c>
      <c r="H33" s="19">
        <f>IFERROR(__xludf.DUMMYFUNCTION("""COMPUTED_VALUE"""),212.38)</f>
        <v>212.38</v>
      </c>
      <c r="I33" s="17" t="str">
        <f>IFERROR(__xludf.DUMMYFUNCTION("""COMPUTED_VALUE"""),"Delivered")</f>
        <v>Delivered</v>
      </c>
      <c r="J33" s="18">
        <f>IFERROR(__xludf.DUMMYFUNCTION("""COMPUTED_VALUE"""),45872.44072916667)</f>
        <v>45872.44073</v>
      </c>
    </row>
    <row r="34">
      <c r="A34" s="18">
        <f>IFERROR(__xludf.DUMMYFUNCTION("""COMPUTED_VALUE"""),45865.19533564815)</f>
        <v>45865.19534</v>
      </c>
      <c r="B34" s="17" t="str">
        <f>IFERROR(__xludf.DUMMYFUNCTION("""COMPUTED_VALUE"""),"Martin 3 sole size 39")</f>
        <v>Martin 3 sole size 39</v>
      </c>
      <c r="C34" s="17" t="str">
        <f>IFERROR(__xludf.DUMMYFUNCTION("""COMPUTED_VALUE"""),"Manoj")</f>
        <v>Manoj</v>
      </c>
      <c r="D34" s="17" t="str">
        <f>IFERROR(__xludf.DUMMYFUNCTION("""COMPUTED_VALUE"""),"Ktm, sundarijal dobato chowk")</f>
        <v>Ktm, sundarijal dobato chowk</v>
      </c>
      <c r="E34" s="17">
        <f>IFERROR(__xludf.DUMMYFUNCTION("""COMPUTED_VALUE"""),9.768966994E9)</f>
        <v>9768966994</v>
      </c>
      <c r="F34" s="19">
        <f>IFERROR(__xludf.DUMMYFUNCTION("""COMPUTED_VALUE"""),500.0)</f>
        <v>500</v>
      </c>
      <c r="G34" s="19">
        <f>IFERROR(__xludf.DUMMYFUNCTION("""COMPUTED_VALUE"""),1500.0)</f>
        <v>1500</v>
      </c>
      <c r="H34" s="19">
        <f>IFERROR(__xludf.DUMMYFUNCTION("""COMPUTED_VALUE"""),102.75)</f>
        <v>102.75</v>
      </c>
      <c r="I34" s="17" t="str">
        <f>IFERROR(__xludf.DUMMYFUNCTION("""COMPUTED_VALUE"""),"Delivered")</f>
        <v>Delivered</v>
      </c>
      <c r="J34" s="18">
        <f>IFERROR(__xludf.DUMMYFUNCTION("""COMPUTED_VALUE"""),45867.2159837963)</f>
        <v>45867.21598</v>
      </c>
    </row>
    <row r="35">
      <c r="A35" s="18">
        <f>IFERROR(__xludf.DUMMYFUNCTION("""COMPUTED_VALUE"""),45865.183171296296)</f>
        <v>45865.18317</v>
      </c>
      <c r="B35" s="17" t="str">
        <f>IFERROR(__xludf.DUMMYFUNCTION("""COMPUTED_VALUE"""),"Chelsea size 41")</f>
        <v>Chelsea size 41</v>
      </c>
      <c r="C35" s="17" t="str">
        <f>IFERROR(__xludf.DUMMYFUNCTION("""COMPUTED_VALUE"""),"Sudesh Shrestha")</f>
        <v>Sudesh Shrestha</v>
      </c>
      <c r="D35" s="17" t="str">
        <f>IFERROR(__xludf.DUMMYFUNCTION("""COMPUTED_VALUE"""),"Sundar haraicha 12, biratchowk Road no 12")</f>
        <v>Sundar haraicha 12, biratchowk Road no 12</v>
      </c>
      <c r="E35" s="17">
        <f>IFERROR(__xludf.DUMMYFUNCTION("""COMPUTED_VALUE"""),9.862232928E9)</f>
        <v>9862232928</v>
      </c>
      <c r="F35" s="19">
        <f>IFERROR(__xludf.DUMMYFUNCTION("""COMPUTED_VALUE"""),450.0)</f>
        <v>450</v>
      </c>
      <c r="G35" s="19">
        <f>IFERROR(__xludf.DUMMYFUNCTION("""COMPUTED_VALUE"""),1350.0)</f>
        <v>1350</v>
      </c>
      <c r="H35" s="19">
        <f>IFERROR(__xludf.DUMMYFUNCTION("""COMPUTED_VALUE"""),162.38)</f>
        <v>162.38</v>
      </c>
      <c r="I35" s="17" t="str">
        <f>IFERROR(__xludf.DUMMYFUNCTION("""COMPUTED_VALUE"""),"Delivered")</f>
        <v>Delivered</v>
      </c>
      <c r="J35" s="18">
        <f>IFERROR(__xludf.DUMMYFUNCTION("""COMPUTED_VALUE"""),45867.38013888889)</f>
        <v>45867.38014</v>
      </c>
    </row>
    <row r="36">
      <c r="A36" s="18">
        <f>IFERROR(__xludf.DUMMYFUNCTION("""COMPUTED_VALUE"""),45865.18116898148)</f>
        <v>45865.18117</v>
      </c>
      <c r="B36" s="17" t="str">
        <f>IFERROR(__xludf.DUMMYFUNCTION("""COMPUTED_VALUE"""),"Sb dunk 41")</f>
        <v>Sb dunk 41</v>
      </c>
      <c r="C36" s="17" t="str">
        <f>IFERROR(__xludf.DUMMYFUNCTION("""COMPUTED_VALUE"""),"Sijan Shrestha")</f>
        <v>Sijan Shrestha</v>
      </c>
      <c r="D36" s="17" t="str">
        <f>IFERROR(__xludf.DUMMYFUNCTION("""COMPUTED_VALUE"""),"Beni, myagdi")</f>
        <v>Beni, myagdi</v>
      </c>
      <c r="E36" s="17">
        <f>IFERROR(__xludf.DUMMYFUNCTION("""COMPUTED_VALUE"""),9.84764997E9)</f>
        <v>9847649970</v>
      </c>
      <c r="F36" s="19">
        <f>IFERROR(__xludf.DUMMYFUNCTION("""COMPUTED_VALUE"""),400.0)</f>
        <v>400</v>
      </c>
      <c r="G36" s="19">
        <f>IFERROR(__xludf.DUMMYFUNCTION("""COMPUTED_VALUE"""),1400.0)</f>
        <v>1400</v>
      </c>
      <c r="H36" s="19">
        <f>IFERROR(__xludf.DUMMYFUNCTION("""COMPUTED_VALUE"""),212.5)</f>
        <v>212.5</v>
      </c>
      <c r="I36" s="17" t="str">
        <f>IFERROR(__xludf.DUMMYFUNCTION("""COMPUTED_VALUE"""),"Delivered")</f>
        <v>Delivered</v>
      </c>
      <c r="J36" s="18">
        <f>IFERROR(__xludf.DUMMYFUNCTION("""COMPUTED_VALUE"""),45867.280752314815)</f>
        <v>45867.28075</v>
      </c>
    </row>
    <row r="37">
      <c r="A37" s="18">
        <f>IFERROR(__xludf.DUMMYFUNCTION("""COMPUTED_VALUE"""),45865.17979166667)</f>
        <v>45865.17979</v>
      </c>
      <c r="B37" s="17" t="str">
        <f>IFERROR(__xludf.DUMMYFUNCTION("""COMPUTED_VALUE"""),"Red Nike ")</f>
        <v>Red Nike </v>
      </c>
      <c r="C37" s="17" t="str">
        <f>IFERROR(__xludf.DUMMYFUNCTION("""COMPUTED_VALUE"""),"Aayush Panthi")</f>
        <v>Aayush Panthi</v>
      </c>
      <c r="D37" s="17" t="str">
        <f>IFERROR(__xludf.DUMMYFUNCTION("""COMPUTED_VALUE"""),"Butwal, bhakwari 7, lec college side")</f>
        <v>Butwal, bhakwari 7, lec college side</v>
      </c>
      <c r="E37" s="17">
        <f>IFERROR(__xludf.DUMMYFUNCTION("""COMPUTED_VALUE"""),9.844755593E9)</f>
        <v>9844755593</v>
      </c>
      <c r="F37" s="19">
        <f>IFERROR(__xludf.DUMMYFUNCTION("""COMPUTED_VALUE"""),350.0)</f>
        <v>350</v>
      </c>
      <c r="G37" s="19">
        <f>IFERROR(__xludf.DUMMYFUNCTION("""COMPUTED_VALUE"""),1350.0)</f>
        <v>1350</v>
      </c>
      <c r="H37" s="19">
        <f>IFERROR(__xludf.DUMMYFUNCTION("""COMPUTED_VALUE"""),182.38)</f>
        <v>182.38</v>
      </c>
      <c r="I37" s="17" t="str">
        <f>IFERROR(__xludf.DUMMYFUNCTION("""COMPUTED_VALUE"""),"Delivered")</f>
        <v>Delivered</v>
      </c>
      <c r="J37" s="18">
        <f>IFERROR(__xludf.DUMMYFUNCTION("""COMPUTED_VALUE"""),45866.38072916667)</f>
        <v>45866.38073</v>
      </c>
    </row>
    <row r="38">
      <c r="A38" s="18">
        <f>IFERROR(__xludf.DUMMYFUNCTION("""COMPUTED_VALUE"""),45865.17822916667)</f>
        <v>45865.17823</v>
      </c>
      <c r="B38" s="17" t="str">
        <f>IFERROR(__xludf.DUMMYFUNCTION("""COMPUTED_VALUE"""),"Dark brown 40")</f>
        <v>Dark brown 40</v>
      </c>
      <c r="C38" s="17" t="str">
        <f>IFERROR(__xludf.DUMMYFUNCTION("""COMPUTED_VALUE"""),"Govinda Khatiwada")</f>
        <v>Govinda Khatiwada</v>
      </c>
      <c r="D38" s="17" t="str">
        <f>IFERROR(__xludf.DUMMYFUNCTION("""COMPUTED_VALUE"""),"Salleri bazar, solukhumbu")</f>
        <v>Salleri bazar, solukhumbu</v>
      </c>
      <c r="E38" s="17">
        <f>IFERROR(__xludf.DUMMYFUNCTION("""COMPUTED_VALUE"""),9.869667233E9)</f>
        <v>9869667233</v>
      </c>
      <c r="F38" s="19">
        <f>IFERROR(__xludf.DUMMYFUNCTION("""COMPUTED_VALUE"""),320.0)</f>
        <v>320</v>
      </c>
      <c r="G38" s="19">
        <f>IFERROR(__xludf.DUMMYFUNCTION("""COMPUTED_VALUE"""),1320.0)</f>
        <v>1320</v>
      </c>
      <c r="H38" s="19">
        <f>IFERROR(__xludf.DUMMYFUNCTION("""COMPUTED_VALUE"""),212.3)</f>
        <v>212.3</v>
      </c>
      <c r="I38" s="17" t="str">
        <f>IFERROR(__xludf.DUMMYFUNCTION("""COMPUTED_VALUE"""),"Delivered")</f>
        <v>Delivered</v>
      </c>
      <c r="J38" s="18">
        <f>IFERROR(__xludf.DUMMYFUNCTION("""COMPUTED_VALUE"""),45867.60194444444)</f>
        <v>45867.60194</v>
      </c>
    </row>
    <row r="39">
      <c r="A39" s="18">
        <f>IFERROR(__xludf.DUMMYFUNCTION("""COMPUTED_VALUE"""),45864.20482638889)</f>
        <v>45864.20483</v>
      </c>
      <c r="B39" s="17" t="str">
        <f>IFERROR(__xludf.DUMMYFUNCTION("""COMPUTED_VALUE"""),"Size 39 Martin 3 sole")</f>
        <v>Size 39 Martin 3 sole</v>
      </c>
      <c r="C39" s="17" t="str">
        <f>IFERROR(__xludf.DUMMYFUNCTION("""COMPUTED_VALUE"""),"Rohan")</f>
        <v>Rohan</v>
      </c>
      <c r="D39" s="17" t="str">
        <f>IFERROR(__xludf.DUMMYFUNCTION("""COMPUTED_VALUE"""),"Manakamana suit hotel, gogechaur, banepa")</f>
        <v>Manakamana suit hotel, gogechaur, banepa</v>
      </c>
      <c r="E39" s="17">
        <f>IFERROR(__xludf.DUMMYFUNCTION("""COMPUTED_VALUE"""),9.701538165E9)</f>
        <v>9701538165</v>
      </c>
      <c r="F39" s="19">
        <f>IFERROR(__xludf.DUMMYFUNCTION("""COMPUTED_VALUE"""),600.0)</f>
        <v>600</v>
      </c>
      <c r="G39" s="19">
        <f>IFERROR(__xludf.DUMMYFUNCTION("""COMPUTED_VALUE"""),1600.0)</f>
        <v>1600</v>
      </c>
      <c r="H39" s="19">
        <f>IFERROR(__xludf.DUMMYFUNCTION("""COMPUTED_VALUE"""),163.0)</f>
        <v>163</v>
      </c>
      <c r="I39" s="17" t="str">
        <f>IFERROR(__xludf.DUMMYFUNCTION("""COMPUTED_VALUE"""),"Delivered")</f>
        <v>Delivered</v>
      </c>
      <c r="J39" s="18">
        <f>IFERROR(__xludf.DUMMYFUNCTION("""COMPUTED_VALUE"""),45865.5271875)</f>
        <v>45865.52719</v>
      </c>
    </row>
    <row r="40">
      <c r="A40" s="18">
        <f>IFERROR(__xludf.DUMMYFUNCTION("""COMPUTED_VALUE"""),45864.203668981485)</f>
        <v>45864.20367</v>
      </c>
      <c r="B40" s="17" t="str">
        <f>IFERROR(__xludf.DUMMYFUNCTION("""COMPUTED_VALUE"""),"Single sole Martin 43")</f>
        <v>Single sole Martin 43</v>
      </c>
      <c r="C40" s="17" t="str">
        <f>IFERROR(__xludf.DUMMYFUNCTION("""COMPUTED_VALUE"""),"Ankit Rajbanshi")</f>
        <v>Ankit Rajbanshi</v>
      </c>
      <c r="D40" s="17" t="str">
        <f>IFERROR(__xludf.DUMMYFUNCTION("""COMPUTED_VALUE"""),"Mechinagar-10, dhulabari, jhapa")</f>
        <v>Mechinagar-10, dhulabari, jhapa</v>
      </c>
      <c r="E40" s="17">
        <f>IFERROR(__xludf.DUMMYFUNCTION("""COMPUTED_VALUE"""),9.827940827E9)</f>
        <v>9827940827</v>
      </c>
      <c r="F40" s="19">
        <f>IFERROR(__xludf.DUMMYFUNCTION("""COMPUTED_VALUE"""),350.0)</f>
        <v>350</v>
      </c>
      <c r="G40" s="19">
        <f>IFERROR(__xludf.DUMMYFUNCTION("""COMPUTED_VALUE"""),1350.0)</f>
        <v>1350</v>
      </c>
      <c r="H40" s="19">
        <f>IFERROR(__xludf.DUMMYFUNCTION("""COMPUTED_VALUE"""),182.38)</f>
        <v>182.38</v>
      </c>
      <c r="I40" s="17" t="str">
        <f>IFERROR(__xludf.DUMMYFUNCTION("""COMPUTED_VALUE"""),"Delivered")</f>
        <v>Delivered</v>
      </c>
      <c r="J40" s="18">
        <f>IFERROR(__xludf.DUMMYFUNCTION("""COMPUTED_VALUE"""),45866.45042824074)</f>
        <v>45866.45043</v>
      </c>
    </row>
    <row r="41">
      <c r="A41" s="18">
        <f>IFERROR(__xludf.DUMMYFUNCTION("""COMPUTED_VALUE"""),45864.191504629634)</f>
        <v>45864.1915</v>
      </c>
      <c r="B41" s="17" t="str">
        <f>IFERROR(__xludf.DUMMYFUNCTION("""COMPUTED_VALUE"""),"Brown 40")</f>
        <v>Brown 40</v>
      </c>
      <c r="C41" s="17" t="str">
        <f>IFERROR(__xludf.DUMMYFUNCTION("""COMPUTED_VALUE"""),"Toshu Sah")</f>
        <v>Toshu Sah</v>
      </c>
      <c r="D41" s="17" t="str">
        <f>IFERROR(__xludf.DUMMYFUNCTION("""COMPUTED_VALUE"""),"Chyasal, lalitpur")</f>
        <v>Chyasal, lalitpur</v>
      </c>
      <c r="E41" s="17">
        <f>IFERROR(__xludf.DUMMYFUNCTION("""COMPUTED_VALUE"""),9.700310751E9)</f>
        <v>9700310751</v>
      </c>
      <c r="F41" s="19">
        <f>IFERROR(__xludf.DUMMYFUNCTION("""COMPUTED_VALUE"""),300.0)</f>
        <v>300</v>
      </c>
      <c r="G41" s="19">
        <f>IFERROR(__xludf.DUMMYFUNCTION("""COMPUTED_VALUE"""),1300.0)</f>
        <v>1300</v>
      </c>
      <c r="H41" s="19">
        <f>IFERROR(__xludf.DUMMYFUNCTION("""COMPUTED_VALUE"""),102.25)</f>
        <v>102.25</v>
      </c>
      <c r="I41" s="17" t="str">
        <f>IFERROR(__xludf.DUMMYFUNCTION("""COMPUTED_VALUE"""),"Delivered")</f>
        <v>Delivered</v>
      </c>
      <c r="J41" s="18">
        <f>IFERROR(__xludf.DUMMYFUNCTION("""COMPUTED_VALUE"""),45865.17994212963)</f>
        <v>45865.17994</v>
      </c>
    </row>
    <row r="42">
      <c r="A42" s="18">
        <f>IFERROR(__xludf.DUMMYFUNCTION("""COMPUTED_VALUE"""),45863.22542824074)</f>
        <v>45863.22543</v>
      </c>
      <c r="B42" s="17" t="str">
        <f>IFERROR(__xludf.DUMMYFUNCTION("""COMPUTED_VALUE"""),"Martin half double sole")</f>
        <v>Martin half double sole</v>
      </c>
      <c r="C42" s="17" t="str">
        <f>IFERROR(__xludf.DUMMYFUNCTION("""COMPUTED_VALUE"""),"Abhishek rokaya")</f>
        <v>Abhishek rokaya</v>
      </c>
      <c r="D42" s="17" t="str">
        <f>IFERROR(__xludf.DUMMYFUNCTION("""COMPUTED_VALUE"""),"Durbarmarg , yakyeti marg Jane bato")</f>
        <v>Durbarmarg , yakyeti marg Jane bato</v>
      </c>
      <c r="E42" s="17">
        <f>IFERROR(__xludf.DUMMYFUNCTION("""COMPUTED_VALUE"""),9.822767923E9)</f>
        <v>9822767923</v>
      </c>
      <c r="F42" s="19">
        <f>IFERROR(__xludf.DUMMYFUNCTION("""COMPUTED_VALUE"""),400.0)</f>
        <v>400</v>
      </c>
      <c r="G42" s="19">
        <f>IFERROR(__xludf.DUMMYFUNCTION("""COMPUTED_VALUE"""),1300.0)</f>
        <v>1300</v>
      </c>
      <c r="H42" s="19">
        <f>IFERROR(__xludf.DUMMYFUNCTION("""COMPUTED_VALUE"""),102.25)</f>
        <v>102.25</v>
      </c>
      <c r="I42" s="17" t="str">
        <f>IFERROR(__xludf.DUMMYFUNCTION("""COMPUTED_VALUE"""),"Delivered")</f>
        <v>Delivered</v>
      </c>
      <c r="J42" s="18">
        <f>IFERROR(__xludf.DUMMYFUNCTION("""COMPUTED_VALUE"""),45863.423414351855)</f>
        <v>45863.42341</v>
      </c>
    </row>
    <row r="43">
      <c r="A43" s="18">
        <f>IFERROR(__xludf.DUMMYFUNCTION("""COMPUTED_VALUE"""),45863.22326388889)</f>
        <v>45863.22326</v>
      </c>
      <c r="B43" s="17" t="str">
        <f>IFERROR(__xludf.DUMMYFUNCTION("""COMPUTED_VALUE"""),"Sky blue Nike size 42")</f>
        <v>Sky blue Nike size 42</v>
      </c>
      <c r="C43" s="17" t="str">
        <f>IFERROR(__xludf.DUMMYFUNCTION("""COMPUTED_VALUE"""),"Rohan Grg Prajoo")</f>
        <v>Rohan Grg Prajoo</v>
      </c>
      <c r="D43" s="17" t="str">
        <f>IFERROR(__xludf.DUMMYFUNCTION("""COMPUTED_VALUE"""),"Tersapatti 3 pokhara")</f>
        <v>Tersapatti 3 pokhara</v>
      </c>
      <c r="E43" s="17">
        <f>IFERROR(__xludf.DUMMYFUNCTION("""COMPUTED_VALUE"""),9.705554376E9)</f>
        <v>9705554376</v>
      </c>
      <c r="F43" s="19">
        <f>IFERROR(__xludf.DUMMYFUNCTION("""COMPUTED_VALUE"""),350.0)</f>
        <v>350</v>
      </c>
      <c r="G43" s="19">
        <f>IFERROR(__xludf.DUMMYFUNCTION("""COMPUTED_VALUE"""),1350.0)</f>
        <v>1350</v>
      </c>
      <c r="H43" s="19">
        <f>IFERROR(__xludf.DUMMYFUNCTION("""COMPUTED_VALUE"""),162.38)</f>
        <v>162.38</v>
      </c>
      <c r="I43" s="17" t="str">
        <f>IFERROR(__xludf.DUMMYFUNCTION("""COMPUTED_VALUE"""),"Delivered")</f>
        <v>Delivered</v>
      </c>
      <c r="J43" s="18">
        <f>IFERROR(__xludf.DUMMYFUNCTION("""COMPUTED_VALUE"""),45866.33039351852)</f>
        <v>45866.33039</v>
      </c>
    </row>
    <row r="44">
      <c r="A44" s="18">
        <f>IFERROR(__xludf.DUMMYFUNCTION("""COMPUTED_VALUE"""),45863.203414351854)</f>
        <v>45863.20341</v>
      </c>
      <c r="B44" s="17" t="str">
        <f>IFERROR(__xludf.DUMMYFUNCTION("""COMPUTED_VALUE"""),"Red Nike 43")</f>
        <v>Red Nike 43</v>
      </c>
      <c r="C44" s="17" t="str">
        <f>IFERROR(__xludf.DUMMYFUNCTION("""COMPUTED_VALUE"""),"Sagar")</f>
        <v>Sagar</v>
      </c>
      <c r="D44" s="17" t="str">
        <f>IFERROR(__xludf.DUMMYFUNCTION("""COMPUTED_VALUE"""),"Dhangadhi bhakat chowk, ward no. 9")</f>
        <v>Dhangadhi bhakat chowk, ward no. 9</v>
      </c>
      <c r="E44" s="17">
        <f>IFERROR(__xludf.DUMMYFUNCTION("""COMPUTED_VALUE"""),9.814660801E9)</f>
        <v>9814660801</v>
      </c>
      <c r="F44" s="19">
        <f>IFERROR(__xludf.DUMMYFUNCTION("""COMPUTED_VALUE"""),350.0)</f>
        <v>350</v>
      </c>
      <c r="G44" s="19">
        <f>IFERROR(__xludf.DUMMYFUNCTION("""COMPUTED_VALUE"""),1350.0)</f>
        <v>1350</v>
      </c>
      <c r="H44" s="19">
        <f>IFERROR(__xludf.DUMMYFUNCTION("""COMPUTED_VALUE"""),182.38)</f>
        <v>182.38</v>
      </c>
      <c r="I44" s="17" t="str">
        <f>IFERROR(__xludf.DUMMYFUNCTION("""COMPUTED_VALUE"""),"Delivered")</f>
        <v>Delivered</v>
      </c>
      <c r="J44" s="18">
        <f>IFERROR(__xludf.DUMMYFUNCTION("""COMPUTED_VALUE"""),45865.2788425926)</f>
        <v>45865.27884</v>
      </c>
    </row>
    <row r="45">
      <c r="A45" s="18">
        <f>IFERROR(__xludf.DUMMYFUNCTION("""COMPUTED_VALUE"""),45863.20244212963)</f>
        <v>45863.20244</v>
      </c>
      <c r="B45" s="17" t="str">
        <f>IFERROR(__xludf.DUMMYFUNCTION("""COMPUTED_VALUE"""),"Nike white and vans 41")</f>
        <v>Nike white and vans 41</v>
      </c>
      <c r="C45" s="17" t="str">
        <f>IFERROR(__xludf.DUMMYFUNCTION("""COMPUTED_VALUE"""),"Manoj Parsai")</f>
        <v>Manoj Parsai</v>
      </c>
      <c r="D45" s="17" t="str">
        <f>IFERROR(__xludf.DUMMYFUNCTION("""COMPUTED_VALUE"""),"Nayabazar 10, pokhara, kaski")</f>
        <v>Nayabazar 10, pokhara, kaski</v>
      </c>
      <c r="E45" s="17">
        <f>IFERROR(__xludf.DUMMYFUNCTION("""COMPUTED_VALUE"""),9.816148089E9)</f>
        <v>9816148089</v>
      </c>
      <c r="F45" s="19">
        <f>IFERROR(__xludf.DUMMYFUNCTION("""COMPUTED_VALUE"""),950.0)</f>
        <v>950</v>
      </c>
      <c r="G45" s="19">
        <f>IFERROR(__xludf.DUMMYFUNCTION("""COMPUTED_VALUE"""),2550.0)</f>
        <v>2550</v>
      </c>
      <c r="H45" s="19">
        <f>IFERROR(__xludf.DUMMYFUNCTION("""COMPUTED_VALUE"""),165.38)</f>
        <v>165.38</v>
      </c>
      <c r="I45" s="17" t="str">
        <f>IFERROR(__xludf.DUMMYFUNCTION("""COMPUTED_VALUE"""),"Delivered")</f>
        <v>Delivered</v>
      </c>
      <c r="J45" s="18">
        <f>IFERROR(__xludf.DUMMYFUNCTION("""COMPUTED_VALUE"""),45864.416226851856)</f>
        <v>45864.41623</v>
      </c>
    </row>
    <row r="46">
      <c r="A46" s="18">
        <f>IFERROR(__xludf.DUMMYFUNCTION("""COMPUTED_VALUE"""),45862.1970949074)</f>
        <v>45862.19709</v>
      </c>
      <c r="B46" s="17" t="str">
        <f>IFERROR(__xludf.DUMMYFUNCTION("""COMPUTED_VALUE"""),"Sr sports and vans 42")</f>
        <v>Sr sports and vans 42</v>
      </c>
      <c r="C46" s="17" t="str">
        <f>IFERROR(__xludf.DUMMYFUNCTION("""COMPUTED_VALUE"""),"Abhishek Shrestha")</f>
        <v>Abhishek Shrestha</v>
      </c>
      <c r="D46" s="17" t="str">
        <f>IFERROR(__xludf.DUMMYFUNCTION("""COMPUTED_VALUE"""),"Tokha, kathmandu")</f>
        <v>Tokha, kathmandu</v>
      </c>
      <c r="E46" s="17">
        <f>IFERROR(__xludf.DUMMYFUNCTION("""COMPUTED_VALUE"""),9.803226972E9)</f>
        <v>9803226972</v>
      </c>
      <c r="F46" s="19">
        <f>IFERROR(__xludf.DUMMYFUNCTION("""COMPUTED_VALUE"""),900.0)</f>
        <v>900</v>
      </c>
      <c r="G46" s="19">
        <f>IFERROR(__xludf.DUMMYFUNCTION("""COMPUTED_VALUE"""),2500.0)</f>
        <v>2500</v>
      </c>
      <c r="H46" s="19">
        <f>IFERROR(__xludf.DUMMYFUNCTION("""COMPUTED_VALUE"""),105.25)</f>
        <v>105.25</v>
      </c>
      <c r="I46" s="17" t="str">
        <f>IFERROR(__xludf.DUMMYFUNCTION("""COMPUTED_VALUE"""),"Delivered")</f>
        <v>Delivered</v>
      </c>
      <c r="J46" s="18">
        <f>IFERROR(__xludf.DUMMYFUNCTION("""COMPUTED_VALUE"""),45863.3140625)</f>
        <v>45863.31406</v>
      </c>
    </row>
    <row r="47">
      <c r="A47" s="18">
        <f>IFERROR(__xludf.DUMMYFUNCTION("""COMPUTED_VALUE"""),45862.19537037037)</f>
        <v>45862.19537</v>
      </c>
      <c r="B47" s="17" t="str">
        <f>IFERROR(__xludf.DUMMYFUNCTION("""COMPUTED_VALUE"""),"Dark brown 42")</f>
        <v>Dark brown 42</v>
      </c>
      <c r="C47" s="17" t="str">
        <f>IFERROR(__xludf.DUMMYFUNCTION("""COMPUTED_VALUE"""),"Suraj Gyawali")</f>
        <v>Suraj Gyawali</v>
      </c>
      <c r="D47" s="17" t="str">
        <f>IFERROR(__xludf.DUMMYFUNCTION("""COMPUTED_VALUE"""),"Parsyang pokhara")</f>
        <v>Parsyang pokhara</v>
      </c>
      <c r="E47" s="17">
        <f>IFERROR(__xludf.DUMMYFUNCTION("""COMPUTED_VALUE"""),9.84730756E9)</f>
        <v>9847307560</v>
      </c>
      <c r="F47" s="19">
        <f>IFERROR(__xludf.DUMMYFUNCTION("""COMPUTED_VALUE"""),350.0)</f>
        <v>350</v>
      </c>
      <c r="G47" s="19">
        <f>IFERROR(__xludf.DUMMYFUNCTION("""COMPUTED_VALUE"""),1350.0)</f>
        <v>1350</v>
      </c>
      <c r="H47" s="19">
        <f>IFERROR(__xludf.DUMMYFUNCTION("""COMPUTED_VALUE"""),162.38)</f>
        <v>162.38</v>
      </c>
      <c r="I47" s="17" t="str">
        <f>IFERROR(__xludf.DUMMYFUNCTION("""COMPUTED_VALUE"""),"Delivered")</f>
        <v>Delivered</v>
      </c>
      <c r="J47" s="18">
        <f>IFERROR(__xludf.DUMMYFUNCTION("""COMPUTED_VALUE"""),45863.42010416667)</f>
        <v>45863.4201</v>
      </c>
    </row>
    <row r="48">
      <c r="A48" s="18">
        <f>IFERROR(__xludf.DUMMYFUNCTION("""COMPUTED_VALUE"""),45862.188368055555)</f>
        <v>45862.18837</v>
      </c>
      <c r="B48" s="17" t="str">
        <f>IFERROR(__xludf.DUMMYFUNCTION("""COMPUTED_VALUE"""),"Vans 42")</f>
        <v>Vans 42</v>
      </c>
      <c r="C48" s="17" t="str">
        <f>IFERROR(__xludf.DUMMYFUNCTION("""COMPUTED_VALUE"""),"Bhuwan Dev")</f>
        <v>Bhuwan Dev</v>
      </c>
      <c r="D48" s="17" t="str">
        <f>IFERROR(__xludf.DUMMYFUNCTION("""COMPUTED_VALUE"""),"Soil management dictorate harihar bhawan, lalitpur ")</f>
        <v>Soil management dictorate harihar bhawan, lalitpur </v>
      </c>
      <c r="E48" s="17">
        <f>IFERROR(__xludf.DUMMYFUNCTION("""COMPUTED_VALUE"""),9.766381427E9)</f>
        <v>9766381427</v>
      </c>
      <c r="F48" s="19">
        <f>IFERROR(__xludf.DUMMYFUNCTION("""COMPUTED_VALUE"""),700.0)</f>
        <v>700</v>
      </c>
      <c r="G48" s="19">
        <f>IFERROR(__xludf.DUMMYFUNCTION("""COMPUTED_VALUE"""),1300.0)</f>
        <v>1300</v>
      </c>
      <c r="H48" s="19">
        <f>IFERROR(__xludf.DUMMYFUNCTION("""COMPUTED_VALUE"""),102.25)</f>
        <v>102.25</v>
      </c>
      <c r="I48" s="17" t="str">
        <f>IFERROR(__xludf.DUMMYFUNCTION("""COMPUTED_VALUE"""),"Delivered")</f>
        <v>Delivered</v>
      </c>
      <c r="J48" s="18">
        <f>IFERROR(__xludf.DUMMYFUNCTION("""COMPUTED_VALUE"""),45863.28288194444)</f>
        <v>45863.28288</v>
      </c>
    </row>
    <row r="49">
      <c r="A49" s="18">
        <f>IFERROR(__xludf.DUMMYFUNCTION("""COMPUTED_VALUE"""),45861.20143518518)</f>
        <v>45861.20144</v>
      </c>
      <c r="B49" s="17" t="str">
        <f>IFERROR(__xludf.DUMMYFUNCTION("""COMPUTED_VALUE"""),"Dunk Low pro 39")</f>
        <v>Dunk Low pro 39</v>
      </c>
      <c r="C49" s="17" t="str">
        <f>IFERROR(__xludf.DUMMYFUNCTION("""COMPUTED_VALUE"""),"Arpan Neupane")</f>
        <v>Arpan Neupane</v>
      </c>
      <c r="D49" s="17" t="str">
        <f>IFERROR(__xludf.DUMMYFUNCTION("""COMPUTED_VALUE"""),"Kharaney path, leknath kaski")</f>
        <v>Kharaney path, leknath kaski</v>
      </c>
      <c r="E49" s="17">
        <f>IFERROR(__xludf.DUMMYFUNCTION("""COMPUTED_VALUE"""),9.846952971E9)</f>
        <v>9846952971</v>
      </c>
      <c r="F49" s="19">
        <f>IFERROR(__xludf.DUMMYFUNCTION("""COMPUTED_VALUE"""),350.0)</f>
        <v>350</v>
      </c>
      <c r="G49" s="19">
        <f>IFERROR(__xludf.DUMMYFUNCTION("""COMPUTED_VALUE"""),1350.0)</f>
        <v>1350</v>
      </c>
      <c r="H49" s="19">
        <f>IFERROR(__xludf.DUMMYFUNCTION("""COMPUTED_VALUE"""),162.38)</f>
        <v>162.38</v>
      </c>
      <c r="I49" s="17" t="str">
        <f>IFERROR(__xludf.DUMMYFUNCTION("""COMPUTED_VALUE"""),"Delivered")</f>
        <v>Delivered</v>
      </c>
      <c r="J49" s="18">
        <f>IFERROR(__xludf.DUMMYFUNCTION("""COMPUTED_VALUE"""),45862.362337962964)</f>
        <v>45862.36234</v>
      </c>
    </row>
    <row r="50">
      <c r="A50" s="18">
        <f>IFERROR(__xludf.DUMMYFUNCTION("""COMPUTED_VALUE"""),45861.199224537035)</f>
        <v>45861.19922</v>
      </c>
      <c r="B50" s="17" t="str">
        <f>IFERROR(__xludf.DUMMYFUNCTION("""COMPUTED_VALUE"""),"Vans 41")</f>
        <v>Vans 41</v>
      </c>
      <c r="C50" s="17" t="str">
        <f>IFERROR(__xludf.DUMMYFUNCTION("""COMPUTED_VALUE"""),"Menal Shrestha")</f>
        <v>Menal Shrestha</v>
      </c>
      <c r="D50" s="17" t="str">
        <f>IFERROR(__xludf.DUMMYFUNCTION("""COMPUTED_VALUE"""),"Steel Tower, jawalakhel")</f>
        <v>Steel Tower, jawalakhel</v>
      </c>
      <c r="E50" s="17">
        <f>IFERROR(__xludf.DUMMYFUNCTION("""COMPUTED_VALUE"""),9.818994553E9)</f>
        <v>9818994553</v>
      </c>
      <c r="F50" s="19">
        <f>IFERROR(__xludf.DUMMYFUNCTION("""COMPUTED_VALUE"""),700.0)</f>
        <v>700</v>
      </c>
      <c r="G50" s="19">
        <f>IFERROR(__xludf.DUMMYFUNCTION("""COMPUTED_VALUE"""),1300.0)</f>
        <v>1300</v>
      </c>
      <c r="H50" s="19">
        <f>IFERROR(__xludf.DUMMYFUNCTION("""COMPUTED_VALUE"""),102.25)</f>
        <v>102.25</v>
      </c>
      <c r="I50" s="17" t="str">
        <f>IFERROR(__xludf.DUMMYFUNCTION("""COMPUTED_VALUE"""),"Delivered")</f>
        <v>Delivered</v>
      </c>
      <c r="J50" s="18">
        <f>IFERROR(__xludf.DUMMYFUNCTION("""COMPUTED_VALUE"""),45861.44431712963)</f>
        <v>45861.44432</v>
      </c>
    </row>
    <row r="51">
      <c r="A51" s="18">
        <f>IFERROR(__xludf.DUMMYFUNCTION("""COMPUTED_VALUE"""),45860.51074074074)</f>
        <v>45860.51074</v>
      </c>
      <c r="B51" s="17" t="str">
        <f>IFERROR(__xludf.DUMMYFUNCTION("""COMPUTED_VALUE"""),"Sr delta size 39")</f>
        <v>Sr delta size 39</v>
      </c>
      <c r="C51" s="17" t="str">
        <f>IFERROR(__xludf.DUMMYFUNCTION("""COMPUTED_VALUE"""),"Sanjit Tamang")</f>
        <v>Sanjit Tamang</v>
      </c>
      <c r="D51" s="17" t="str">
        <f>IFERROR(__xludf.DUMMYFUNCTION("""COMPUTED_VALUE"""),"Sirutar, bhaktapur")</f>
        <v>Sirutar, bhaktapur</v>
      </c>
      <c r="E51" s="17">
        <f>IFERROR(__xludf.DUMMYFUNCTION("""COMPUTED_VALUE"""),9.826764749E9)</f>
        <v>9826764749</v>
      </c>
      <c r="F51" s="19">
        <f>IFERROR(__xludf.DUMMYFUNCTION("""COMPUTED_VALUE"""),300.0)</f>
        <v>300</v>
      </c>
      <c r="G51" s="19">
        <f>IFERROR(__xludf.DUMMYFUNCTION("""COMPUTED_VALUE"""),1300.0)</f>
        <v>1300</v>
      </c>
      <c r="H51" s="19">
        <f>IFERROR(__xludf.DUMMYFUNCTION("""COMPUTED_VALUE"""),102.25)</f>
        <v>102.25</v>
      </c>
      <c r="I51" s="17" t="str">
        <f>IFERROR(__xludf.DUMMYFUNCTION("""COMPUTED_VALUE"""),"Delivered")</f>
        <v>Delivered</v>
      </c>
      <c r="J51" s="18">
        <f>IFERROR(__xludf.DUMMYFUNCTION("""COMPUTED_VALUE"""),45862.395266203705)</f>
        <v>45862.39527</v>
      </c>
    </row>
    <row r="52">
      <c r="A52" s="18">
        <f>IFERROR(__xludf.DUMMYFUNCTION("""COMPUTED_VALUE"""),45857.22825231482)</f>
        <v>45857.22825</v>
      </c>
      <c r="B52" s="17" t="str">
        <f>IFERROR(__xludf.DUMMYFUNCTION("""COMPUTED_VALUE"""),"Vans 43")</f>
        <v>Vans 43</v>
      </c>
      <c r="C52" s="17" t="str">
        <f>IFERROR(__xludf.DUMMYFUNCTION("""COMPUTED_VALUE"""),"Newar Shyam")</f>
        <v>Newar Shyam</v>
      </c>
      <c r="D52" s="17" t="str">
        <f>IFERROR(__xludf.DUMMYFUNCTION("""COMPUTED_VALUE"""),"Pakhapani, dang")</f>
        <v>Pakhapani, dang</v>
      </c>
      <c r="E52" s="17">
        <f>IFERROR(__xludf.DUMMYFUNCTION("""COMPUTED_VALUE"""),9.843713594E9)</f>
        <v>9843713594</v>
      </c>
      <c r="F52" s="19">
        <f>IFERROR(__xludf.DUMMYFUNCTION("""COMPUTED_VALUE"""),750.0)</f>
        <v>750</v>
      </c>
      <c r="G52" s="19">
        <f>IFERROR(__xludf.DUMMYFUNCTION("""COMPUTED_VALUE"""),1350.0)</f>
        <v>1350</v>
      </c>
      <c r="H52" s="19">
        <f>IFERROR(__xludf.DUMMYFUNCTION("""COMPUTED_VALUE"""),232.38)</f>
        <v>232.38</v>
      </c>
      <c r="I52" s="17" t="str">
        <f>IFERROR(__xludf.DUMMYFUNCTION("""COMPUTED_VALUE"""),"Delivered")</f>
        <v>Delivered</v>
      </c>
      <c r="J52" s="18">
        <f>IFERROR(__xludf.DUMMYFUNCTION("""COMPUTED_VALUE"""),45860.518425925926)</f>
        <v>45860.51843</v>
      </c>
    </row>
    <row r="53">
      <c r="A53" s="18">
        <f>IFERROR(__xludf.DUMMYFUNCTION("""COMPUTED_VALUE"""),45857.20888888889)</f>
        <v>45857.20889</v>
      </c>
      <c r="B53" s="17" t="str">
        <f>IFERROR(__xludf.DUMMYFUNCTION("""COMPUTED_VALUE"""),"Gray 42")</f>
        <v>Gray 42</v>
      </c>
      <c r="C53" s="17" t="str">
        <f>IFERROR(__xludf.DUMMYFUNCTION("""COMPUTED_VALUE"""),"Diwash")</f>
        <v>Diwash</v>
      </c>
      <c r="D53" s="17" t="str">
        <f>IFERROR(__xludf.DUMMYFUNCTION("""COMPUTED_VALUE"""),"Morang pathari")</f>
        <v>Morang pathari</v>
      </c>
      <c r="E53" s="17">
        <f>IFERROR(__xludf.DUMMYFUNCTION("""COMPUTED_VALUE"""),9.746898035E9)</f>
        <v>9746898035</v>
      </c>
      <c r="F53" s="19">
        <f>IFERROR(__xludf.DUMMYFUNCTION("""COMPUTED_VALUE"""),450.0)</f>
        <v>450</v>
      </c>
      <c r="G53" s="19">
        <f>IFERROR(__xludf.DUMMYFUNCTION("""COMPUTED_VALUE"""),1450.0)</f>
        <v>1450</v>
      </c>
      <c r="H53" s="19">
        <f>IFERROR(__xludf.DUMMYFUNCTION("""COMPUTED_VALUE"""),232.63)</f>
        <v>232.63</v>
      </c>
      <c r="I53" s="17" t="str">
        <f>IFERROR(__xludf.DUMMYFUNCTION("""COMPUTED_VALUE"""),"Delivered")</f>
        <v>Delivered</v>
      </c>
      <c r="J53" s="18">
        <f>IFERROR(__xludf.DUMMYFUNCTION("""COMPUTED_VALUE"""),45862.316307870366)</f>
        <v>45862.31631</v>
      </c>
    </row>
    <row r="54">
      <c r="A54" s="18">
        <f>IFERROR(__xludf.DUMMYFUNCTION("""COMPUTED_VALUE"""),45857.206296296295)</f>
        <v>45857.2063</v>
      </c>
      <c r="B54" s="17" t="str">
        <f>IFERROR(__xludf.DUMMYFUNCTION("""COMPUTED_VALUE"""),"Nike White and gray 43")</f>
        <v>Nike White and gray 43</v>
      </c>
      <c r="C54" s="17" t="str">
        <f>IFERROR(__xludf.DUMMYFUNCTION("""COMPUTED_VALUE"""),"Nishan sigdel")</f>
        <v>Nishan sigdel</v>
      </c>
      <c r="D54" s="17" t="str">
        <f>IFERROR(__xludf.DUMMYFUNCTION("""COMPUTED_VALUE"""),"Sunsari, ramdhuni bhasi, lalpur")</f>
        <v>Sunsari, ramdhuni bhasi, lalpur</v>
      </c>
      <c r="E54" s="17">
        <f>IFERROR(__xludf.DUMMYFUNCTION("""COMPUTED_VALUE"""),9.829369398E9)</f>
        <v>9829369398</v>
      </c>
      <c r="F54" s="19">
        <f>IFERROR(__xludf.DUMMYFUNCTION("""COMPUTED_VALUE"""),450.0)</f>
        <v>450</v>
      </c>
      <c r="G54" s="19">
        <f>IFERROR(__xludf.DUMMYFUNCTION("""COMPUTED_VALUE"""),2450.0)</f>
        <v>2450</v>
      </c>
      <c r="H54" s="19">
        <f>IFERROR(__xludf.DUMMYFUNCTION("""COMPUTED_VALUE"""),215.13)</f>
        <v>215.13</v>
      </c>
      <c r="I54" s="17" t="str">
        <f>IFERROR(__xludf.DUMMYFUNCTION("""COMPUTED_VALUE"""),"Delivered")</f>
        <v>Delivered</v>
      </c>
      <c r="J54" s="18">
        <f>IFERROR(__xludf.DUMMYFUNCTION("""COMPUTED_VALUE"""),45860.3343287037)</f>
        <v>45860.33433</v>
      </c>
    </row>
    <row r="55">
      <c r="A55" s="18">
        <f>IFERROR(__xludf.DUMMYFUNCTION("""COMPUTED_VALUE"""),45857.19940972222)</f>
        <v>45857.19941</v>
      </c>
      <c r="B55" s="17" t="str">
        <f>IFERROR(__xludf.DUMMYFUNCTION("""COMPUTED_VALUE"""),"Brown 39 nike")</f>
        <v>Brown 39 nike</v>
      </c>
      <c r="C55" s="17" t="str">
        <f>IFERROR(__xludf.DUMMYFUNCTION("""COMPUTED_VALUE"""),"Samir Khadka")</f>
        <v>Samir Khadka</v>
      </c>
      <c r="D55" s="17" t="str">
        <f>IFERROR(__xludf.DUMMYFUNCTION("""COMPUTED_VALUE"""),"Mullani, manakamana mandir")</f>
        <v>Mullani, manakamana mandir</v>
      </c>
      <c r="E55" s="17">
        <f>IFERROR(__xludf.DUMMYFUNCTION("""COMPUTED_VALUE"""),9.80344133E9)</f>
        <v>9803441330</v>
      </c>
      <c r="F55" s="19">
        <f>IFERROR(__xludf.DUMMYFUNCTION("""COMPUTED_VALUE"""),300.0)</f>
        <v>300</v>
      </c>
      <c r="G55" s="19">
        <f>IFERROR(__xludf.DUMMYFUNCTION("""COMPUTED_VALUE"""),1300.0)</f>
        <v>1300</v>
      </c>
      <c r="H55" s="19">
        <f>IFERROR(__xludf.DUMMYFUNCTION("""COMPUTED_VALUE"""),152.25)</f>
        <v>152.25</v>
      </c>
      <c r="I55" s="17" t="str">
        <f>IFERROR(__xludf.DUMMYFUNCTION("""COMPUTED_VALUE"""),"Delivered")</f>
        <v>Delivered</v>
      </c>
      <c r="J55" s="18">
        <f>IFERROR(__xludf.DUMMYFUNCTION("""COMPUTED_VALUE"""),45858.38641203704)</f>
        <v>45858.38641</v>
      </c>
    </row>
    <row r="56">
      <c r="A56" s="18">
        <f>IFERROR(__xludf.DUMMYFUNCTION("""COMPUTED_VALUE"""),45857.197800925926)</f>
        <v>45857.1978</v>
      </c>
      <c r="B56" s="17" t="str">
        <f>IFERROR(__xludf.DUMMYFUNCTION("""COMPUTED_VALUE"""),"Nike 11 red 44")</f>
        <v>Nike 11 red 44</v>
      </c>
      <c r="C56" s="17" t="str">
        <f>IFERROR(__xludf.DUMMYFUNCTION("""COMPUTED_VALUE"""),"Dipesh Bhusal")</f>
        <v>Dipesh Bhusal</v>
      </c>
      <c r="D56" s="17" t="str">
        <f>IFERROR(__xludf.DUMMYFUNCTION("""COMPUTED_VALUE"""),"Accham district, sanfebagar")</f>
        <v>Accham district, sanfebagar</v>
      </c>
      <c r="E56" s="17">
        <f>IFERROR(__xludf.DUMMYFUNCTION("""COMPUTED_VALUE"""),9.86471728E9)</f>
        <v>9864717280</v>
      </c>
      <c r="F56" s="19">
        <f>IFERROR(__xludf.DUMMYFUNCTION("""COMPUTED_VALUE"""),650.0)</f>
        <v>650</v>
      </c>
      <c r="G56" s="19">
        <f>IFERROR(__xludf.DUMMYFUNCTION("""COMPUTED_VALUE"""),1450.0)</f>
        <v>1450</v>
      </c>
      <c r="H56" s="19">
        <f>IFERROR(__xludf.DUMMYFUNCTION("""COMPUTED_VALUE"""),212.63)</f>
        <v>212.63</v>
      </c>
      <c r="I56" s="17" t="str">
        <f>IFERROR(__xludf.DUMMYFUNCTION("""COMPUTED_VALUE"""),"Delivered")</f>
        <v>Delivered</v>
      </c>
      <c r="J56" s="18">
        <f>IFERROR(__xludf.DUMMYFUNCTION("""COMPUTED_VALUE"""),45860.51934027778)</f>
        <v>45860.51934</v>
      </c>
    </row>
    <row r="57">
      <c r="A57" s="18">
        <f>IFERROR(__xludf.DUMMYFUNCTION("""COMPUTED_VALUE"""),45857.19510416666)</f>
        <v>45857.1951</v>
      </c>
      <c r="B57" s="17" t="str">
        <f>IFERROR(__xludf.DUMMYFUNCTION("""COMPUTED_VALUE"""),"Vans 41")</f>
        <v>Vans 41</v>
      </c>
      <c r="C57" s="17" t="str">
        <f>IFERROR(__xludf.DUMMYFUNCTION("""COMPUTED_VALUE"""),"Aashish Aryal")</f>
        <v>Aashish Aryal</v>
      </c>
      <c r="D57" s="17" t="str">
        <f>IFERROR(__xludf.DUMMYFUNCTION("""COMPUTED_VALUE"""),"Sunwal 13, badera")</f>
        <v>Sunwal 13, badera</v>
      </c>
      <c r="E57" s="17">
        <f>IFERROR(__xludf.DUMMYFUNCTION("""COMPUTED_VALUE"""),9.762248226E9)</f>
        <v>9762248226</v>
      </c>
      <c r="F57" s="19">
        <f>IFERROR(__xludf.DUMMYFUNCTION("""COMPUTED_VALUE"""),700.0)</f>
        <v>700</v>
      </c>
      <c r="G57" s="19">
        <f>IFERROR(__xludf.DUMMYFUNCTION("""COMPUTED_VALUE"""),1300.0)</f>
        <v>1300</v>
      </c>
      <c r="H57" s="19">
        <f>IFERROR(__xludf.DUMMYFUNCTION("""COMPUTED_VALUE"""),232.25)</f>
        <v>232.25</v>
      </c>
      <c r="I57" s="17" t="str">
        <f>IFERROR(__xludf.DUMMYFUNCTION("""COMPUTED_VALUE"""),"Delivered")</f>
        <v>Delivered</v>
      </c>
      <c r="J57" s="18">
        <f>IFERROR(__xludf.DUMMYFUNCTION("""COMPUTED_VALUE"""),45860.359872685185)</f>
        <v>45860.35987</v>
      </c>
    </row>
    <row r="58">
      <c r="A58" s="18">
        <f>IFERROR(__xludf.DUMMYFUNCTION("""COMPUTED_VALUE"""),45822.13050925926)</f>
        <v>45822.13051</v>
      </c>
      <c r="B58" s="17" t="str">
        <f>IFERROR(__xludf.DUMMYFUNCTION("""COMPUTED_VALUE"""),"Red full size 42 skating")</f>
        <v>Red full size 42 skating</v>
      </c>
      <c r="C58" s="17" t="str">
        <f>IFERROR(__xludf.DUMMYFUNCTION("""COMPUTED_VALUE"""),"Bishwas")</f>
        <v>Bishwas</v>
      </c>
      <c r="D58" s="17" t="str">
        <f>IFERROR(__xludf.DUMMYFUNCTION("""COMPUTED_VALUE"""),"Cea high school, balaju")</f>
        <v>Cea high school, balaju</v>
      </c>
      <c r="E58" s="17">
        <f>IFERROR(__xludf.DUMMYFUNCTION("""COMPUTED_VALUE"""),9.82801524E9)</f>
        <v>9828015240</v>
      </c>
      <c r="F58" s="19">
        <f>IFERROR(__xludf.DUMMYFUNCTION("""COMPUTED_VALUE"""),300.0)</f>
        <v>300</v>
      </c>
      <c r="G58" s="19">
        <f>IFERROR(__xludf.DUMMYFUNCTION("""COMPUTED_VALUE"""),1300.0)</f>
        <v>1300</v>
      </c>
      <c r="H58" s="19">
        <f>IFERROR(__xludf.DUMMYFUNCTION("""COMPUTED_VALUE"""),62.25)</f>
        <v>62.25</v>
      </c>
      <c r="I58" s="17" t="str">
        <f>IFERROR(__xludf.DUMMYFUNCTION("""COMPUTED_VALUE"""),"Delivered")</f>
        <v>Delivered</v>
      </c>
      <c r="J58" s="18">
        <f>IFERROR(__xludf.DUMMYFUNCTION("""COMPUTED_VALUE"""),45823.447384259256)</f>
        <v>45823.44738</v>
      </c>
    </row>
    <row r="59">
      <c r="A59" s="18">
        <f>IFERROR(__xludf.DUMMYFUNCTION("""COMPUTED_VALUE"""),45822.128287037034)</f>
        <v>45822.12829</v>
      </c>
      <c r="B59" s="17" t="str">
        <f>IFERROR(__xludf.DUMMYFUNCTION("""COMPUTED_VALUE"""),"Vans size 42")</f>
        <v>Vans size 42</v>
      </c>
      <c r="C59" s="17" t="str">
        <f>IFERROR(__xludf.DUMMYFUNCTION("""COMPUTED_VALUE"""),"Abhishek")</f>
        <v>Abhishek</v>
      </c>
      <c r="D59" s="17" t="str">
        <f>IFERROR(__xludf.DUMMYFUNCTION("""COMPUTED_VALUE"""),"Biratchowk, morang")</f>
        <v>Biratchowk, morang</v>
      </c>
      <c r="E59" s="17">
        <f>IFERROR(__xludf.DUMMYFUNCTION("""COMPUTED_VALUE"""),9.803475204E9)</f>
        <v>9803475204</v>
      </c>
      <c r="F59" s="19">
        <f>IFERROR(__xludf.DUMMYFUNCTION("""COMPUTED_VALUE"""),700.0)</f>
        <v>700</v>
      </c>
      <c r="G59" s="19">
        <f>IFERROR(__xludf.DUMMYFUNCTION("""COMPUTED_VALUE"""),1300.0)</f>
        <v>1300</v>
      </c>
      <c r="H59" s="19">
        <f>IFERROR(__xludf.DUMMYFUNCTION("""COMPUTED_VALUE"""),82.25)</f>
        <v>82.25</v>
      </c>
      <c r="I59" s="17" t="str">
        <f>IFERROR(__xludf.DUMMYFUNCTION("""COMPUTED_VALUE"""),"Delivered")</f>
        <v>Delivered</v>
      </c>
      <c r="J59" s="18">
        <f>IFERROR(__xludf.DUMMYFUNCTION("""COMPUTED_VALUE"""),45827.51219907407)</f>
        <v>45827.5122</v>
      </c>
    </row>
    <row r="60">
      <c r="A60" s="18">
        <f>IFERROR(__xludf.DUMMYFUNCTION("""COMPUTED_VALUE"""),45813.1583912037)</f>
        <v>45813.15839</v>
      </c>
      <c r="B60" s="17" t="str">
        <f>IFERROR(__xludf.DUMMYFUNCTION("""COMPUTED_VALUE"""),"Brown Nike size 38")</f>
        <v>Brown Nike size 38</v>
      </c>
      <c r="C60" s="17" t="str">
        <f>IFERROR(__xludf.DUMMYFUNCTION("""COMPUTED_VALUE"""),"Mousam lama")</f>
        <v>Mousam lama</v>
      </c>
      <c r="D60" s="17" t="str">
        <f>IFERROR(__xludf.DUMMYFUNCTION("""COMPUTED_VALUE"""),"Bhadrapur-2, jhapa, sagarmatha")</f>
        <v>Bhadrapur-2, jhapa, sagarmatha</v>
      </c>
      <c r="E60" s="17">
        <f>IFERROR(__xludf.DUMMYFUNCTION("""COMPUTED_VALUE"""),9.70776491E9)</f>
        <v>9707764910</v>
      </c>
      <c r="F60" s="19">
        <f>IFERROR(__xludf.DUMMYFUNCTION("""COMPUTED_VALUE"""),300.0)</f>
        <v>300</v>
      </c>
      <c r="G60" s="19">
        <f>IFERROR(__xludf.DUMMYFUNCTION("""COMPUTED_VALUE"""),1300.0)</f>
        <v>1300</v>
      </c>
      <c r="H60" s="19">
        <f>IFERROR(__xludf.DUMMYFUNCTION("""COMPUTED_VALUE"""),82.25)</f>
        <v>82.25</v>
      </c>
      <c r="I60" s="17" t="str">
        <f>IFERROR(__xludf.DUMMYFUNCTION("""COMPUTED_VALUE"""),"Delivered")</f>
        <v>Delivered</v>
      </c>
      <c r="J60" s="18">
        <f>IFERROR(__xludf.DUMMYFUNCTION("""COMPUTED_VALUE"""),45822.32089120371)</f>
        <v>45822.32089</v>
      </c>
    </row>
    <row r="61">
      <c r="A61" s="18">
        <f>IFERROR(__xludf.DUMMYFUNCTION("""COMPUTED_VALUE"""),45812.194236111114)</f>
        <v>45812.19424</v>
      </c>
      <c r="B61" s="17" t="str">
        <f>IFERROR(__xludf.DUMMYFUNCTION("""COMPUTED_VALUE"""),"Martin size 41 double sole")</f>
        <v>Martin size 41 double sole</v>
      </c>
      <c r="C61" s="17" t="str">
        <f>IFERROR(__xludf.DUMMYFUNCTION("""COMPUTED_VALUE"""),"Abhishek tamang")</f>
        <v>Abhishek tamang</v>
      </c>
      <c r="D61" s="17" t="str">
        <f>IFERROR(__xludf.DUMMYFUNCTION("""COMPUTED_VALUE"""),"Itahari, sathi petrol pump")</f>
        <v>Itahari, sathi petrol pump</v>
      </c>
      <c r="E61" s="17">
        <f>IFERROR(__xludf.DUMMYFUNCTION("""COMPUTED_VALUE"""),9.766341801E9)</f>
        <v>9766341801</v>
      </c>
      <c r="F61" s="19">
        <f>IFERROR(__xludf.DUMMYFUNCTION("""COMPUTED_VALUE"""),600.0)</f>
        <v>600</v>
      </c>
      <c r="G61" s="19">
        <f>IFERROR(__xludf.DUMMYFUNCTION("""COMPUTED_VALUE"""),1600.0)</f>
        <v>1600</v>
      </c>
      <c r="H61" s="19">
        <f>IFERROR(__xludf.DUMMYFUNCTION("""COMPUTED_VALUE"""),83.0)</f>
        <v>83</v>
      </c>
      <c r="I61" s="17" t="str">
        <f>IFERROR(__xludf.DUMMYFUNCTION("""COMPUTED_VALUE"""),"Delivered")</f>
        <v>Delivered</v>
      </c>
      <c r="J61" s="18">
        <f>IFERROR(__xludf.DUMMYFUNCTION("""COMPUTED_VALUE"""),45815.330034722225)</f>
        <v>45815.33003</v>
      </c>
    </row>
    <row r="62">
      <c r="A62" s="18">
        <f>IFERROR(__xludf.DUMMYFUNCTION("""COMPUTED_VALUE"""),45812.19016203703)</f>
        <v>45812.19016</v>
      </c>
      <c r="B62" s="17" t="str">
        <f>IFERROR(__xludf.DUMMYFUNCTION("""COMPUTED_VALUE"""),"Martin double sole size 40")</f>
        <v>Martin double sole size 40</v>
      </c>
      <c r="C62" s="17" t="str">
        <f>IFERROR(__xludf.DUMMYFUNCTION("""COMPUTED_VALUE"""),"Krishna shrestha ")</f>
        <v>Krishna shrestha </v>
      </c>
      <c r="D62" s="17" t="str">
        <f>IFERROR(__xludf.DUMMYFUNCTION("""COMPUTED_VALUE"""),"Syangja District, waling municipality")</f>
        <v>Syangja District, waling municipality</v>
      </c>
      <c r="E62" s="17">
        <f>IFERROR(__xludf.DUMMYFUNCTION("""COMPUTED_VALUE"""),9.816675875E9)</f>
        <v>9816675875</v>
      </c>
      <c r="F62" s="19">
        <f>IFERROR(__xludf.DUMMYFUNCTION("""COMPUTED_VALUE"""),550.0)</f>
        <v>550</v>
      </c>
      <c r="G62" s="19">
        <f>IFERROR(__xludf.DUMMYFUNCTION("""COMPUTED_VALUE"""),1550.0)</f>
        <v>1550</v>
      </c>
      <c r="H62" s="19">
        <f>IFERROR(__xludf.DUMMYFUNCTION("""COMPUTED_VALUE"""),82.88)</f>
        <v>82.88</v>
      </c>
      <c r="I62" s="17" t="str">
        <f>IFERROR(__xludf.DUMMYFUNCTION("""COMPUTED_VALUE"""),"Delivered")</f>
        <v>Delivered</v>
      </c>
      <c r="J62" s="18">
        <f>IFERROR(__xludf.DUMMYFUNCTION("""COMPUTED_VALUE"""),45814.104895833334)</f>
        <v>45814.1049</v>
      </c>
    </row>
    <row r="63">
      <c r="A63" s="18">
        <f>IFERROR(__xludf.DUMMYFUNCTION("""COMPUTED_VALUE"""),45812.1859375)</f>
        <v>45812.18594</v>
      </c>
      <c r="B63" s="17" t="str">
        <f>IFERROR(__xludf.DUMMYFUNCTION("""COMPUTED_VALUE"""),"Utsav Nike 40 ")</f>
        <v>Utsav Nike 40 </v>
      </c>
      <c r="C63" s="17" t="str">
        <f>IFERROR(__xludf.DUMMYFUNCTION("""COMPUTED_VALUE"""),"Adib aslam")</f>
        <v>Adib aslam</v>
      </c>
      <c r="D63" s="17" t="str">
        <f>IFERROR(__xludf.DUMMYFUNCTION("""COMPUTED_VALUE"""),"Near kinderjoy montessori, tikathali")</f>
        <v>Near kinderjoy montessori, tikathali</v>
      </c>
      <c r="E63" s="17">
        <f>IFERROR(__xludf.DUMMYFUNCTION("""COMPUTED_VALUE"""),9.76900403E9)</f>
        <v>9769004030</v>
      </c>
      <c r="F63" s="19">
        <f>IFERROR(__xludf.DUMMYFUNCTION("""COMPUTED_VALUE"""),400.0)</f>
        <v>400</v>
      </c>
      <c r="G63" s="19">
        <f>IFERROR(__xludf.DUMMYFUNCTION("""COMPUTED_VALUE"""),1200.0)</f>
        <v>1200</v>
      </c>
      <c r="H63" s="19">
        <f>IFERROR(__xludf.DUMMYFUNCTION("""COMPUTED_VALUE"""),62.0)</f>
        <v>62</v>
      </c>
      <c r="I63" s="17" t="str">
        <f>IFERROR(__xludf.DUMMYFUNCTION("""COMPUTED_VALUE"""),"Delivered")</f>
        <v>Delivered</v>
      </c>
      <c r="J63" s="18">
        <f>IFERROR(__xludf.DUMMYFUNCTION("""COMPUTED_VALUE"""),45812.573472222226)</f>
        <v>45812.57347</v>
      </c>
    </row>
    <row r="64">
      <c r="A64" s="18">
        <f>IFERROR(__xludf.DUMMYFUNCTION("""COMPUTED_VALUE"""),45812.18383101852)</f>
        <v>45812.18383</v>
      </c>
      <c r="B64" s="17" t="str">
        <f>IFERROR(__xludf.DUMMYFUNCTION("""COMPUTED_VALUE"""),"Vans and Nike size 41 and 42")</f>
        <v>Vans and Nike size 41 and 42</v>
      </c>
      <c r="C64" s="17" t="str">
        <f>IFERROR(__xludf.DUMMYFUNCTION("""COMPUTED_VALUE"""),"Sandip pariyar")</f>
        <v>Sandip pariyar</v>
      </c>
      <c r="D64" s="17" t="str">
        <f>IFERROR(__xludf.DUMMYFUNCTION("""COMPUTED_VALUE"""),"Pokhara, leknath argau chowk")</f>
        <v>Pokhara, leknath argau chowk</v>
      </c>
      <c r="E64" s="17">
        <f>IFERROR(__xludf.DUMMYFUNCTION("""COMPUTED_VALUE"""),9.814744722E9)</f>
        <v>9814744722</v>
      </c>
      <c r="F64" s="19">
        <f>IFERROR(__xludf.DUMMYFUNCTION("""COMPUTED_VALUE"""),900.0)</f>
        <v>900</v>
      </c>
      <c r="G64" s="19">
        <f>IFERROR(__xludf.DUMMYFUNCTION("""COMPUTED_VALUE"""),2500.0)</f>
        <v>2500</v>
      </c>
      <c r="H64" s="19">
        <f>IFERROR(__xludf.DUMMYFUNCTION("""COMPUTED_VALUE"""),85.25)</f>
        <v>85.25</v>
      </c>
      <c r="I64" s="17" t="str">
        <f>IFERROR(__xludf.DUMMYFUNCTION("""COMPUTED_VALUE"""),"Delivered")</f>
        <v>Delivered</v>
      </c>
      <c r="J64" s="18">
        <f>IFERROR(__xludf.DUMMYFUNCTION("""COMPUTED_VALUE"""),45814.34135416667)</f>
        <v>45814.34135</v>
      </c>
    </row>
    <row r="65">
      <c r="A65" s="18">
        <f>IFERROR(__xludf.DUMMYFUNCTION("""COMPUTED_VALUE"""),45812.18256944444)</f>
        <v>45812.18257</v>
      </c>
      <c r="B65" s="17" t="str">
        <f>IFERROR(__xludf.DUMMYFUNCTION("""COMPUTED_VALUE"""),"Nike size 43")</f>
        <v>Nike size 43</v>
      </c>
      <c r="C65" s="17" t="str">
        <f>IFERROR(__xludf.DUMMYFUNCTION("""COMPUTED_VALUE"""),"Digital chaudhary")</f>
        <v>Digital chaudhary</v>
      </c>
      <c r="D65" s="17" t="str">
        <f>IFERROR(__xludf.DUMMYFUNCTION("""COMPUTED_VALUE"""),"Saptari, kalyanpur")</f>
        <v>Saptari, kalyanpur</v>
      </c>
      <c r="E65" s="17">
        <f>IFERROR(__xludf.DUMMYFUNCTION("""COMPUTED_VALUE"""),9.828836978E9)</f>
        <v>9828836978</v>
      </c>
      <c r="F65" s="19">
        <f>IFERROR(__xludf.DUMMYFUNCTION("""COMPUTED_VALUE"""),300.0)</f>
        <v>300</v>
      </c>
      <c r="G65" s="19">
        <f>IFERROR(__xludf.DUMMYFUNCTION("""COMPUTED_VALUE"""),1300.0)</f>
        <v>1300</v>
      </c>
      <c r="H65" s="19">
        <f>IFERROR(__xludf.DUMMYFUNCTION("""COMPUTED_VALUE"""),82.25)</f>
        <v>82.25</v>
      </c>
      <c r="I65" s="17" t="str">
        <f>IFERROR(__xludf.DUMMYFUNCTION("""COMPUTED_VALUE"""),"Delivered")</f>
        <v>Delivered</v>
      </c>
      <c r="J65" s="18">
        <f>IFERROR(__xludf.DUMMYFUNCTION("""COMPUTED_VALUE"""),45813.43583333334)</f>
        <v>45813.43583</v>
      </c>
    </row>
    <row r="66">
      <c r="A66" s="18">
        <f>IFERROR(__xludf.DUMMYFUNCTION("""COMPUTED_VALUE"""),45811.2071875)</f>
        <v>45811.20719</v>
      </c>
      <c r="B66" s="17" t="str">
        <f>IFERROR(__xludf.DUMMYFUNCTION("""COMPUTED_VALUE"""),"Samba shoes size 42")</f>
        <v>Samba shoes size 42</v>
      </c>
      <c r="C66" s="17" t="str">
        <f>IFERROR(__xludf.DUMMYFUNCTION("""COMPUTED_VALUE"""),"Aashish basnet")</f>
        <v>Aashish basnet</v>
      </c>
      <c r="D66" s="17" t="str">
        <f>IFERROR(__xludf.DUMMYFUNCTION("""COMPUTED_VALUE"""),"Sainamaina 9, basgandhi rupandehi")</f>
        <v>Sainamaina 9, basgandhi rupandehi</v>
      </c>
      <c r="E66" s="17">
        <f>IFERROR(__xludf.DUMMYFUNCTION("""COMPUTED_VALUE"""),9.840784344E9)</f>
        <v>9840784344</v>
      </c>
      <c r="F66" s="19">
        <f>IFERROR(__xludf.DUMMYFUNCTION("""COMPUTED_VALUE"""),300.0)</f>
        <v>300</v>
      </c>
      <c r="G66" s="19">
        <f>IFERROR(__xludf.DUMMYFUNCTION("""COMPUTED_VALUE"""),1300.0)</f>
        <v>1300</v>
      </c>
      <c r="H66" s="19">
        <f>IFERROR(__xludf.DUMMYFUNCTION("""COMPUTED_VALUE"""),82.25)</f>
        <v>82.25</v>
      </c>
      <c r="I66" s="17" t="str">
        <f>IFERROR(__xludf.DUMMYFUNCTION("""COMPUTED_VALUE"""),"Delivered")</f>
        <v>Delivered</v>
      </c>
      <c r="J66" s="18">
        <f>IFERROR(__xludf.DUMMYFUNCTION("""COMPUTED_VALUE"""),45812.31383101852)</f>
        <v>45812.31383</v>
      </c>
    </row>
    <row r="67">
      <c r="A67" s="18">
        <f>IFERROR(__xludf.DUMMYFUNCTION("""COMPUTED_VALUE"""),45811.20578703703)</f>
        <v>45811.20579</v>
      </c>
      <c r="B67" s="17" t="str">
        <f>IFERROR(__xludf.DUMMYFUNCTION("""COMPUTED_VALUE"""),"Vans shoes size 43")</f>
        <v>Vans shoes size 43</v>
      </c>
      <c r="C67" s="17" t="str">
        <f>IFERROR(__xludf.DUMMYFUNCTION("""COMPUTED_VALUE"""),"Sujal")</f>
        <v>Sujal</v>
      </c>
      <c r="D67" s="17" t="str">
        <f>IFERROR(__xludf.DUMMYFUNCTION("""COMPUTED_VALUE"""),"Pokhara birauta, ram mandir")</f>
        <v>Pokhara birauta, ram mandir</v>
      </c>
      <c r="E67" s="17">
        <f>IFERROR(__xludf.DUMMYFUNCTION("""COMPUTED_VALUE"""),9.826664765E9)</f>
        <v>9826664765</v>
      </c>
      <c r="F67" s="19">
        <f>IFERROR(__xludf.DUMMYFUNCTION("""COMPUTED_VALUE"""),700.0)</f>
        <v>700</v>
      </c>
      <c r="G67" s="19">
        <f>IFERROR(__xludf.DUMMYFUNCTION("""COMPUTED_VALUE"""),1300.0)</f>
        <v>1300</v>
      </c>
      <c r="H67" s="19">
        <f>IFERROR(__xludf.DUMMYFUNCTION("""COMPUTED_VALUE"""),82.25)</f>
        <v>82.25</v>
      </c>
      <c r="I67" s="17" t="str">
        <f>IFERROR(__xludf.DUMMYFUNCTION("""COMPUTED_VALUE"""),"Delivered")</f>
        <v>Delivered</v>
      </c>
      <c r="J67" s="18">
        <f>IFERROR(__xludf.DUMMYFUNCTION("""COMPUTED_VALUE"""),45812.445810185185)</f>
        <v>45812.44581</v>
      </c>
    </row>
    <row r="68">
      <c r="A68" s="18">
        <f>IFERROR(__xludf.DUMMYFUNCTION("""COMPUTED_VALUE"""),45811.20447916667)</f>
        <v>45811.20448</v>
      </c>
      <c r="B68" s="17" t="str">
        <f>IFERROR(__xludf.DUMMYFUNCTION("""COMPUTED_VALUE"""),"Sr shoes size 42")</f>
        <v>Sr shoes size 42</v>
      </c>
      <c r="C68" s="17" t="str">
        <f>IFERROR(__xludf.DUMMYFUNCTION("""COMPUTED_VALUE"""),"Adib aslam")</f>
        <v>Adib aslam</v>
      </c>
      <c r="D68" s="17" t="str">
        <f>IFERROR(__xludf.DUMMYFUNCTION("""COMPUTED_VALUE"""),"Near kinderjoy Montessori, tikathali")</f>
        <v>Near kinderjoy Montessori, tikathali</v>
      </c>
      <c r="E68" s="17">
        <f>IFERROR(__xludf.DUMMYFUNCTION("""COMPUTED_VALUE"""),9.76900403E9)</f>
        <v>9769004030</v>
      </c>
      <c r="F68" s="19">
        <f>IFERROR(__xludf.DUMMYFUNCTION("""COMPUTED_VALUE"""),400.0)</f>
        <v>400</v>
      </c>
      <c r="G68" s="19">
        <f>IFERROR(__xludf.DUMMYFUNCTION("""COMPUTED_VALUE"""),1400.0)</f>
        <v>1400</v>
      </c>
      <c r="H68" s="19">
        <f>IFERROR(__xludf.DUMMYFUNCTION("""COMPUTED_VALUE"""),62.5)</f>
        <v>62.5</v>
      </c>
      <c r="I68" s="17" t="str">
        <f>IFERROR(__xludf.DUMMYFUNCTION("""COMPUTED_VALUE"""),"Delivered")</f>
        <v>Delivered</v>
      </c>
      <c r="J68" s="18">
        <f>IFERROR(__xludf.DUMMYFUNCTION("""COMPUTED_VALUE"""),45812.40385416667)</f>
        <v>45812.40385</v>
      </c>
    </row>
    <row r="69">
      <c r="A69" s="18">
        <f>IFERROR(__xludf.DUMMYFUNCTION("""COMPUTED_VALUE"""),45811.201932870375)</f>
        <v>45811.20193</v>
      </c>
      <c r="B69" s="17" t="str">
        <f>IFERROR(__xludf.DUMMYFUNCTION("""COMPUTED_VALUE"""),"Nike black n white sports size 42")</f>
        <v>Nike black n white sports size 42</v>
      </c>
      <c r="C69" s="17" t="str">
        <f>IFERROR(__xludf.DUMMYFUNCTION("""COMPUTED_VALUE"""),"Mani Yadav")</f>
        <v>Mani Yadav</v>
      </c>
      <c r="D69" s="17" t="str">
        <f>IFERROR(__xludf.DUMMYFUNCTION("""COMPUTED_VALUE"""),"Pokhariya nagarpalika, basanpur tole")</f>
        <v>Pokhariya nagarpalika, basanpur tole</v>
      </c>
      <c r="E69" s="17">
        <f>IFERROR(__xludf.DUMMYFUNCTION("""COMPUTED_VALUE"""),9.805199354E9)</f>
        <v>9805199354</v>
      </c>
      <c r="F69" s="19">
        <f>IFERROR(__xludf.DUMMYFUNCTION("""COMPUTED_VALUE"""),300.0)</f>
        <v>300</v>
      </c>
      <c r="G69" s="19">
        <f>IFERROR(__xludf.DUMMYFUNCTION("""COMPUTED_VALUE"""),1300.0)</f>
        <v>1300</v>
      </c>
      <c r="H69" s="19">
        <f>IFERROR(__xludf.DUMMYFUNCTION("""COMPUTED_VALUE"""),82.25)</f>
        <v>82.25</v>
      </c>
      <c r="I69" s="17" t="str">
        <f>IFERROR(__xludf.DUMMYFUNCTION("""COMPUTED_VALUE"""),"Delivered")</f>
        <v>Delivered</v>
      </c>
      <c r="J69" s="18">
        <f>IFERROR(__xludf.DUMMYFUNCTION("""COMPUTED_VALUE"""),45816.25824074074)</f>
        <v>45816.25824</v>
      </c>
    </row>
    <row r="70">
      <c r="A70" s="18">
        <f>IFERROR(__xludf.DUMMYFUNCTION("""COMPUTED_VALUE"""),45811.196504629625)</f>
        <v>45811.1965</v>
      </c>
      <c r="B70" s="17" t="str">
        <f>IFERROR(__xludf.DUMMYFUNCTION("""COMPUTED_VALUE"""),"Utsav shoes size 42")</f>
        <v>Utsav shoes size 42</v>
      </c>
      <c r="C70" s="17" t="str">
        <f>IFERROR(__xludf.DUMMYFUNCTION("""COMPUTED_VALUE"""),"Dipen khadka")</f>
        <v>Dipen khadka</v>
      </c>
      <c r="D70" s="17" t="str">
        <f>IFERROR(__xludf.DUMMYFUNCTION("""COMPUTED_VALUE"""),"Bharatpur 21, parbatipur")</f>
        <v>Bharatpur 21, parbatipur</v>
      </c>
      <c r="E70" s="17">
        <f>IFERROR(__xludf.DUMMYFUNCTION("""COMPUTED_VALUE"""),9.746280186E9)</f>
        <v>9746280186</v>
      </c>
      <c r="F70" s="19">
        <f>IFERROR(__xludf.DUMMYFUNCTION("""COMPUTED_VALUE"""),500.0)</f>
        <v>500</v>
      </c>
      <c r="G70" s="19">
        <f>IFERROR(__xludf.DUMMYFUNCTION("""COMPUTED_VALUE"""),1300.0)</f>
        <v>1300</v>
      </c>
      <c r="H70" s="19">
        <f>IFERROR(__xludf.DUMMYFUNCTION("""COMPUTED_VALUE"""),82.25)</f>
        <v>82.25</v>
      </c>
      <c r="I70" s="17" t="str">
        <f>IFERROR(__xludf.DUMMYFUNCTION("""COMPUTED_VALUE"""),"Delivered")</f>
        <v>Delivered</v>
      </c>
      <c r="J70" s="18">
        <f>IFERROR(__xludf.DUMMYFUNCTION("""COMPUTED_VALUE"""),45816.42743055556)</f>
        <v>45816.42743</v>
      </c>
    </row>
    <row r="71">
      <c r="A71" s="18">
        <f>IFERROR(__xludf.DUMMYFUNCTION("""COMPUTED_VALUE"""),45811.19473379629)</f>
        <v>45811.19473</v>
      </c>
      <c r="B71" s="17" t="str">
        <f>IFERROR(__xludf.DUMMYFUNCTION("""COMPUTED_VALUE"""),"Tbl and vans size 43")</f>
        <v>Tbl and vans size 43</v>
      </c>
      <c r="C71" s="17" t="str">
        <f>IFERROR(__xludf.DUMMYFUNCTION("""COMPUTED_VALUE"""),"Tankeeyy")</f>
        <v>Tankeeyy</v>
      </c>
      <c r="D71" s="17" t="str">
        <f>IFERROR(__xludf.DUMMYFUNCTION("""COMPUTED_VALUE"""),"Jantabasti pipal Chowk, itahari")</f>
        <v>Jantabasti pipal Chowk, itahari</v>
      </c>
      <c r="E71" s="17">
        <f>IFERROR(__xludf.DUMMYFUNCTION("""COMPUTED_VALUE"""),9.709130886E9)</f>
        <v>9709130886</v>
      </c>
      <c r="F71" s="19">
        <f>IFERROR(__xludf.DUMMYFUNCTION("""COMPUTED_VALUE"""),800.0)</f>
        <v>800</v>
      </c>
      <c r="G71" s="19">
        <f>IFERROR(__xludf.DUMMYFUNCTION("""COMPUTED_VALUE"""),2400.0)</f>
        <v>2400</v>
      </c>
      <c r="H71" s="19">
        <f>IFERROR(__xludf.DUMMYFUNCTION("""COMPUTED_VALUE"""),85.0)</f>
        <v>85</v>
      </c>
      <c r="I71" s="17" t="str">
        <f>IFERROR(__xludf.DUMMYFUNCTION("""COMPUTED_VALUE"""),"Delivered")</f>
        <v>Delivered</v>
      </c>
      <c r="J71" s="18">
        <f>IFERROR(__xludf.DUMMYFUNCTION("""COMPUTED_VALUE"""),45812.41483796296)</f>
        <v>45812.41484</v>
      </c>
    </row>
    <row r="72">
      <c r="A72" s="18">
        <f>IFERROR(__xludf.DUMMYFUNCTION("""COMPUTED_VALUE"""),45811.193402777775)</f>
        <v>45811.1934</v>
      </c>
      <c r="B72" s="17" t="str">
        <f>IFERROR(__xludf.DUMMYFUNCTION("""COMPUTED_VALUE"""),"Chelsea and Nike sr size 43")</f>
        <v>Chelsea and Nike sr size 43</v>
      </c>
      <c r="C72" s="17" t="str">
        <f>IFERROR(__xludf.DUMMYFUNCTION("""COMPUTED_VALUE"""),"Ajay pragyan")</f>
        <v>Ajay pragyan</v>
      </c>
      <c r="D72" s="17" t="str">
        <f>IFERROR(__xludf.DUMMYFUNCTION("""COMPUTED_VALUE"""),"Gulmi, tamgash")</f>
        <v>Gulmi, tamgash</v>
      </c>
      <c r="E72" s="17">
        <f>IFERROR(__xludf.DUMMYFUNCTION("""COMPUTED_VALUE"""),9.847532187E9)</f>
        <v>9847532187</v>
      </c>
      <c r="F72" s="19">
        <f>IFERROR(__xludf.DUMMYFUNCTION("""COMPUTED_VALUE"""),500.0)</f>
        <v>500</v>
      </c>
      <c r="G72" s="19">
        <f>IFERROR(__xludf.DUMMYFUNCTION("""COMPUTED_VALUE"""),2500.0)</f>
        <v>2500</v>
      </c>
      <c r="H72" s="19">
        <f>IFERROR(__xludf.DUMMYFUNCTION("""COMPUTED_VALUE"""),85.25)</f>
        <v>85.25</v>
      </c>
      <c r="I72" s="17" t="str">
        <f>IFERROR(__xludf.DUMMYFUNCTION("""COMPUTED_VALUE"""),"Delivered")</f>
        <v>Delivered</v>
      </c>
      <c r="J72" s="18">
        <f>IFERROR(__xludf.DUMMYFUNCTION("""COMPUTED_VALUE"""),45813.353993055556)</f>
        <v>45813.35399</v>
      </c>
    </row>
    <row r="73">
      <c r="A73" s="18">
        <f>IFERROR(__xludf.DUMMYFUNCTION("""COMPUTED_VALUE"""),45811.19211805555)</f>
        <v>45811.19212</v>
      </c>
      <c r="B73" s="17" t="str">
        <f>IFERROR(__xludf.DUMMYFUNCTION("""COMPUTED_VALUE"""),"Dark brown size 41")</f>
        <v>Dark brown size 41</v>
      </c>
      <c r="C73" s="17" t="str">
        <f>IFERROR(__xludf.DUMMYFUNCTION("""COMPUTED_VALUE"""),"Alone boy")</f>
        <v>Alone boy</v>
      </c>
      <c r="D73" s="17" t="str">
        <f>IFERROR(__xludf.DUMMYFUNCTION("""COMPUTED_VALUE"""),"Syangja, arjunchaupari")</f>
        <v>Syangja, arjunchaupari</v>
      </c>
      <c r="E73" s="17">
        <f>IFERROR(__xludf.DUMMYFUNCTION("""COMPUTED_VALUE"""),9.703982249E9)</f>
        <v>9703982249</v>
      </c>
      <c r="F73" s="19">
        <f>IFERROR(__xludf.DUMMYFUNCTION("""COMPUTED_VALUE"""),300.0)</f>
        <v>300</v>
      </c>
      <c r="G73" s="19">
        <f>IFERROR(__xludf.DUMMYFUNCTION("""COMPUTED_VALUE"""),1300.0)</f>
        <v>1300</v>
      </c>
      <c r="H73" s="19">
        <f>IFERROR(__xludf.DUMMYFUNCTION("""COMPUTED_VALUE"""),82.25)</f>
        <v>82.25</v>
      </c>
      <c r="I73" s="17" t="str">
        <f>IFERROR(__xludf.DUMMYFUNCTION("""COMPUTED_VALUE"""),"Delivered")</f>
        <v>Delivered</v>
      </c>
      <c r="J73" s="18">
        <f>IFERROR(__xludf.DUMMYFUNCTION("""COMPUTED_VALUE"""),45813.54565972222)</f>
        <v>45813.54566</v>
      </c>
    </row>
    <row r="74">
      <c r="A74" s="18">
        <f>IFERROR(__xludf.DUMMYFUNCTION("""COMPUTED_VALUE"""),45811.18950231481)</f>
        <v>45811.1895</v>
      </c>
      <c r="B74" s="17" t="str">
        <f>IFERROR(__xludf.DUMMYFUNCTION("""COMPUTED_VALUE"""),"Vans half shoes 40")</f>
        <v>Vans half shoes 40</v>
      </c>
      <c r="C74" s="17" t="str">
        <f>IFERROR(__xludf.DUMMYFUNCTION("""COMPUTED_VALUE"""),"Sabin pandey")</f>
        <v>Sabin pandey</v>
      </c>
      <c r="D74" s="17" t="str">
        <f>IFERROR(__xludf.DUMMYFUNCTION("""COMPUTED_VALUE"""),"Morang, thydia")</f>
        <v>Morang, thydia</v>
      </c>
      <c r="E74" s="17">
        <f>IFERROR(__xludf.DUMMYFUNCTION("""COMPUTED_VALUE"""),9.801992885E9)</f>
        <v>9801992885</v>
      </c>
      <c r="F74" s="19">
        <f>IFERROR(__xludf.DUMMYFUNCTION("""COMPUTED_VALUE"""),700.0)</f>
        <v>700</v>
      </c>
      <c r="G74" s="19">
        <f>IFERROR(__xludf.DUMMYFUNCTION("""COMPUTED_VALUE"""),1300.0)</f>
        <v>1300</v>
      </c>
      <c r="H74" s="19">
        <f>IFERROR(__xludf.DUMMYFUNCTION("""COMPUTED_VALUE"""),82.25)</f>
        <v>82.25</v>
      </c>
      <c r="I74" s="17" t="str">
        <f>IFERROR(__xludf.DUMMYFUNCTION("""COMPUTED_VALUE"""),"Delivered")</f>
        <v>Delivered</v>
      </c>
      <c r="J74" s="18">
        <f>IFERROR(__xludf.DUMMYFUNCTION("""COMPUTED_VALUE"""),45812.50335648148)</f>
        <v>45812.50336</v>
      </c>
    </row>
    <row r="75">
      <c r="A75" s="18">
        <f>IFERROR(__xludf.DUMMYFUNCTION("""COMPUTED_VALUE"""),45808.16628472222)</f>
        <v>45808.16628</v>
      </c>
      <c r="B75" s="17" t="str">
        <f>IFERROR(__xludf.DUMMYFUNCTION("""COMPUTED_VALUE"""),"Samba shoes size 43")</f>
        <v>Samba shoes size 43</v>
      </c>
      <c r="C75" s="17" t="str">
        <f>IFERROR(__xludf.DUMMYFUNCTION("""COMPUTED_VALUE"""),"Sudip")</f>
        <v>Sudip</v>
      </c>
      <c r="D75" s="17" t="str">
        <f>IFERROR(__xludf.DUMMYFUNCTION("""COMPUTED_VALUE"""),"Tokha road, nature club resataurant")</f>
        <v>Tokha road, nature club resataurant</v>
      </c>
      <c r="E75" s="17">
        <f>IFERROR(__xludf.DUMMYFUNCTION("""COMPUTED_VALUE"""),9.867371428E9)</f>
        <v>9867371428</v>
      </c>
      <c r="F75" s="19">
        <f>IFERROR(__xludf.DUMMYFUNCTION("""COMPUTED_VALUE"""),300.0)</f>
        <v>300</v>
      </c>
      <c r="G75" s="19">
        <f>IFERROR(__xludf.DUMMYFUNCTION("""COMPUTED_VALUE"""),1300.0)</f>
        <v>1300</v>
      </c>
      <c r="H75" s="19">
        <f>IFERROR(__xludf.DUMMYFUNCTION("""COMPUTED_VALUE"""),62.25)</f>
        <v>62.25</v>
      </c>
      <c r="I75" s="17" t="str">
        <f>IFERROR(__xludf.DUMMYFUNCTION("""COMPUTED_VALUE"""),"Delivered")</f>
        <v>Delivered</v>
      </c>
      <c r="J75" s="18">
        <f>IFERROR(__xludf.DUMMYFUNCTION("""COMPUTED_VALUE"""),45809.26428240741)</f>
        <v>45809.26428</v>
      </c>
    </row>
    <row r="76">
      <c r="A76" s="18">
        <f>IFERROR(__xludf.DUMMYFUNCTION("""COMPUTED_VALUE"""),45807.17722222222)</f>
        <v>45807.17722</v>
      </c>
      <c r="B76" s="17" t="str">
        <f>IFERROR(__xludf.DUMMYFUNCTION("""COMPUTED_VALUE"""),"Brown shoes size 41")</f>
        <v>Brown shoes size 41</v>
      </c>
      <c r="C76" s="17" t="str">
        <f>IFERROR(__xludf.DUMMYFUNCTION("""COMPUTED_VALUE"""),"Sukdev thapa")</f>
        <v>Sukdev thapa</v>
      </c>
      <c r="D76" s="17" t="str">
        <f>IFERROR(__xludf.DUMMYFUNCTION("""COMPUTED_VALUE"""),"Dang lamahi")</f>
        <v>Dang lamahi</v>
      </c>
      <c r="E76" s="17">
        <f>IFERROR(__xludf.DUMMYFUNCTION("""COMPUTED_VALUE"""),9.806230424E9)</f>
        <v>9806230424</v>
      </c>
      <c r="F76" s="19">
        <f>IFERROR(__xludf.DUMMYFUNCTION("""COMPUTED_VALUE"""),300.0)</f>
        <v>300</v>
      </c>
      <c r="G76" s="19">
        <f>IFERROR(__xludf.DUMMYFUNCTION("""COMPUTED_VALUE"""),1300.0)</f>
        <v>1300</v>
      </c>
      <c r="H76" s="19">
        <f>IFERROR(__xludf.DUMMYFUNCTION("""COMPUTED_VALUE"""),82.25)</f>
        <v>82.25</v>
      </c>
      <c r="I76" s="17" t="str">
        <f>IFERROR(__xludf.DUMMYFUNCTION("""COMPUTED_VALUE"""),"Delivered")</f>
        <v>Delivered</v>
      </c>
      <c r="J76" s="18">
        <f>IFERROR(__xludf.DUMMYFUNCTION("""COMPUTED_VALUE"""),45810.61547453704)</f>
        <v>45810.61547</v>
      </c>
    </row>
    <row r="77">
      <c r="A77" s="18">
        <f>IFERROR(__xludf.DUMMYFUNCTION("""COMPUTED_VALUE"""),45807.17543981482)</f>
        <v>45807.17544</v>
      </c>
      <c r="B77" s="17" t="str">
        <f>IFERROR(__xludf.DUMMYFUNCTION("""COMPUTED_VALUE"""),"Utsav shoes size 42")</f>
        <v>Utsav shoes size 42</v>
      </c>
      <c r="C77" s="17" t="str">
        <f>IFERROR(__xludf.DUMMYFUNCTION("""COMPUTED_VALUE"""),"Nisan tamang")</f>
        <v>Nisan tamang</v>
      </c>
      <c r="D77" s="17" t="str">
        <f>IFERROR(__xludf.DUMMYFUNCTION("""COMPUTED_VALUE"""),"Dhulabari")</f>
        <v>Dhulabari</v>
      </c>
      <c r="E77" s="17">
        <f>IFERROR(__xludf.DUMMYFUNCTION("""COMPUTED_VALUE"""),9.764470296E9)</f>
        <v>9764470296</v>
      </c>
      <c r="F77" s="19">
        <f>IFERROR(__xludf.DUMMYFUNCTION("""COMPUTED_VALUE"""),450.0)</f>
        <v>450</v>
      </c>
      <c r="G77" s="19">
        <f>IFERROR(__xludf.DUMMYFUNCTION("""COMPUTED_VALUE"""),1250.0)</f>
        <v>1250</v>
      </c>
      <c r="H77" s="19">
        <f>IFERROR(__xludf.DUMMYFUNCTION("""COMPUTED_VALUE"""),82.13)</f>
        <v>82.13</v>
      </c>
      <c r="I77" s="17" t="str">
        <f>IFERROR(__xludf.DUMMYFUNCTION("""COMPUTED_VALUE"""),"Delivered")</f>
        <v>Delivered</v>
      </c>
      <c r="J77" s="18">
        <f>IFERROR(__xludf.DUMMYFUNCTION("""COMPUTED_VALUE"""),45809.37590277778)</f>
        <v>45809.3759</v>
      </c>
    </row>
    <row r="78">
      <c r="A78" s="18">
        <f>IFERROR(__xludf.DUMMYFUNCTION("""COMPUTED_VALUE"""),45807.17444444445)</f>
        <v>45807.17444</v>
      </c>
      <c r="B78" s="17" t="str">
        <f>IFERROR(__xludf.DUMMYFUNCTION("""COMPUTED_VALUE"""),"Nike blue shoes and white size 41")</f>
        <v>Nike blue shoes and white size 41</v>
      </c>
      <c r="C78" s="17" t="str">
        <f>IFERROR(__xludf.DUMMYFUNCTION("""COMPUTED_VALUE"""),"Shree Krishna sapkota")</f>
        <v>Shree Krishna sapkota</v>
      </c>
      <c r="D78" s="17" t="str">
        <f>IFERROR(__xludf.DUMMYFUNCTION("""COMPUTED_VALUE"""),"Beni bazzar, myagdi")</f>
        <v>Beni bazzar, myagdi</v>
      </c>
      <c r="E78" s="17">
        <f>IFERROR(__xludf.DUMMYFUNCTION("""COMPUTED_VALUE"""),9.769477499E9)</f>
        <v>9769477499</v>
      </c>
      <c r="F78" s="19">
        <f>IFERROR(__xludf.DUMMYFUNCTION("""COMPUTED_VALUE"""),400.0)</f>
        <v>400</v>
      </c>
      <c r="G78" s="19">
        <f>IFERROR(__xludf.DUMMYFUNCTION("""COMPUTED_VALUE"""),2400.0)</f>
        <v>2400</v>
      </c>
      <c r="H78" s="19">
        <f>IFERROR(__xludf.DUMMYFUNCTION("""COMPUTED_VALUE"""),85.0)</f>
        <v>85</v>
      </c>
      <c r="I78" s="17" t="str">
        <f>IFERROR(__xludf.DUMMYFUNCTION("""COMPUTED_VALUE"""),"Delivered")</f>
        <v>Delivered</v>
      </c>
      <c r="J78" s="18">
        <f>IFERROR(__xludf.DUMMYFUNCTION("""COMPUTED_VALUE"""),45813.280960648146)</f>
        <v>45813.28096</v>
      </c>
    </row>
    <row r="79">
      <c r="A79" s="18">
        <f>IFERROR(__xludf.DUMMYFUNCTION("""COMPUTED_VALUE"""),45806.75989583333)</f>
        <v>45806.7599</v>
      </c>
      <c r="B79" s="17" t="str">
        <f>IFERROR(__xludf.DUMMYFUNCTION("""COMPUTED_VALUE"""),"Sr shoes size 43")</f>
        <v>Sr shoes size 43</v>
      </c>
      <c r="C79" s="17" t="str">
        <f>IFERROR(__xludf.DUMMYFUNCTION("""COMPUTED_VALUE"""),"Samir kc")</f>
        <v>Samir kc</v>
      </c>
      <c r="D79" s="17" t="str">
        <f>IFERROR(__xludf.DUMMYFUNCTION("""COMPUTED_VALUE"""),"
Location-thinthana,munalclub")</f>
        <v>
Location-thinthana,munalclub</v>
      </c>
      <c r="E79" s="17">
        <f>IFERROR(__xludf.DUMMYFUNCTION("""COMPUTED_VALUE"""),9.844821299E9)</f>
        <v>9844821299</v>
      </c>
      <c r="F79" s="19">
        <f>IFERROR(__xludf.DUMMYFUNCTION("""COMPUTED_VALUE"""),300.0)</f>
        <v>300</v>
      </c>
      <c r="G79" s="19">
        <f>IFERROR(__xludf.DUMMYFUNCTION("""COMPUTED_VALUE"""),1300.0)</f>
        <v>1300</v>
      </c>
      <c r="H79" s="19">
        <f>IFERROR(__xludf.DUMMYFUNCTION("""COMPUTED_VALUE"""),62.25)</f>
        <v>62.25</v>
      </c>
      <c r="I79" s="17" t="str">
        <f>IFERROR(__xludf.DUMMYFUNCTION("""COMPUTED_VALUE"""),"Delivered")</f>
        <v>Delivered</v>
      </c>
      <c r="J79" s="18">
        <f>IFERROR(__xludf.DUMMYFUNCTION("""COMPUTED_VALUE"""),45808.42049768519)</f>
        <v>45808.4205</v>
      </c>
    </row>
    <row r="80">
      <c r="A80" s="18">
        <f>IFERROR(__xludf.DUMMYFUNCTION("""COMPUTED_VALUE"""),45806.44621527778)</f>
        <v>45806.44622</v>
      </c>
      <c r="B80" s="17" t="str">
        <f>IFERROR(__xludf.DUMMYFUNCTION("""COMPUTED_VALUE"""),"Lofer black size 39")</f>
        <v>Lofer black size 39</v>
      </c>
      <c r="C80" s="17" t="str">
        <f>IFERROR(__xludf.DUMMYFUNCTION("""COMPUTED_VALUE"""),"MD noore nabi")</f>
        <v>MD noore nabi</v>
      </c>
      <c r="D80" s="17" t="str">
        <f>IFERROR(__xludf.DUMMYFUNCTION("""COMPUTED_VALUE"""),"Butwal, pharsatikar 4")</f>
        <v>Butwal, pharsatikar 4</v>
      </c>
      <c r="E80" s="17">
        <f>IFERROR(__xludf.DUMMYFUNCTION("""COMPUTED_VALUE"""),9.7047297E9)</f>
        <v>9704729700</v>
      </c>
      <c r="F80" s="19">
        <f>IFERROR(__xludf.DUMMYFUNCTION("""COMPUTED_VALUE"""),500.0)</f>
        <v>500</v>
      </c>
      <c r="G80" s="19">
        <f>IFERROR(__xludf.DUMMYFUNCTION("""COMPUTED_VALUE"""),1300.0)</f>
        <v>1300</v>
      </c>
      <c r="H80" s="19">
        <f>IFERROR(__xludf.DUMMYFUNCTION("""COMPUTED_VALUE"""),82.25)</f>
        <v>82.25</v>
      </c>
      <c r="I80" s="17" t="str">
        <f>IFERROR(__xludf.DUMMYFUNCTION("""COMPUTED_VALUE"""),"Delivered")</f>
        <v>Delivered</v>
      </c>
      <c r="J80" s="18">
        <f>IFERROR(__xludf.DUMMYFUNCTION("""COMPUTED_VALUE"""),45809.487708333334)</f>
        <v>45809.48771</v>
      </c>
    </row>
    <row r="81">
      <c r="A81" s="18">
        <f>IFERROR(__xludf.DUMMYFUNCTION("""COMPUTED_VALUE"""),45806.440833333334)</f>
        <v>45806.44083</v>
      </c>
      <c r="B81" s="17"/>
      <c r="C81" s="17" t="str">
        <f>IFERROR(__xludf.DUMMYFUNCTION("""COMPUTED_VALUE"""),"Bibek rai")</f>
        <v>Bibek rai</v>
      </c>
      <c r="D81" s="17" t="str">
        <f>IFERROR(__xludf.DUMMYFUNCTION("""COMPUTED_VALUE"""),"Lalitpur, purna Chandi mandir ")</f>
        <v>Lalitpur, purna Chandi mandir </v>
      </c>
      <c r="E81" s="17">
        <f>IFERROR(__xludf.DUMMYFUNCTION("""COMPUTED_VALUE"""),9.810065122E9)</f>
        <v>9810065122</v>
      </c>
      <c r="F81" s="19">
        <f>IFERROR(__xludf.DUMMYFUNCTION("""COMPUTED_VALUE"""),260.0)</f>
        <v>260</v>
      </c>
      <c r="G81" s="19">
        <f>IFERROR(__xludf.DUMMYFUNCTION("""COMPUTED_VALUE"""),1260.0)</f>
        <v>1260</v>
      </c>
      <c r="H81" s="19">
        <f>IFERROR(__xludf.DUMMYFUNCTION("""COMPUTED_VALUE"""),3.15)</f>
        <v>3.15</v>
      </c>
      <c r="I81" s="17" t="str">
        <f>IFERROR(__xludf.DUMMYFUNCTION("""COMPUTED_VALUE"""),"Delivered")</f>
        <v>Delivered</v>
      </c>
      <c r="J81" s="18">
        <f>IFERROR(__xludf.DUMMYFUNCTION("""COMPUTED_VALUE"""),45807.21878472222)</f>
        <v>45807.21878</v>
      </c>
    </row>
    <row r="82">
      <c r="A82" s="18">
        <f>IFERROR(__xludf.DUMMYFUNCTION("""COMPUTED_VALUE"""),45806.43519675926)</f>
        <v>45806.4352</v>
      </c>
      <c r="B82" s="17" t="str">
        <f>IFERROR(__xludf.DUMMYFUNCTION("""COMPUTED_VALUE"""),"Brown Nike size 41")</f>
        <v>Brown Nike size 41</v>
      </c>
      <c r="C82" s="17" t="str">
        <f>IFERROR(__xludf.DUMMYFUNCTION("""COMPUTED_VALUE"""),"Nisan or jibika tamang")</f>
        <v>Nisan or jibika tamang</v>
      </c>
      <c r="D82" s="17" t="str">
        <f>IFERROR(__xludf.DUMMYFUNCTION("""COMPUTED_VALUE"""),"Dhulabari")</f>
        <v>Dhulabari</v>
      </c>
      <c r="E82" s="17">
        <f>IFERROR(__xludf.DUMMYFUNCTION("""COMPUTED_VALUE"""),9.764470296E9)</f>
        <v>9764470296</v>
      </c>
      <c r="F82" s="19">
        <f>IFERROR(__xludf.DUMMYFUNCTION("""COMPUTED_VALUE"""),300.0)</f>
        <v>300</v>
      </c>
      <c r="G82" s="19">
        <f>IFERROR(__xludf.DUMMYFUNCTION("""COMPUTED_VALUE"""),1300.0)</f>
        <v>1300</v>
      </c>
      <c r="H82" s="19">
        <f>IFERROR(__xludf.DUMMYFUNCTION("""COMPUTED_VALUE"""),82.25)</f>
        <v>82.25</v>
      </c>
      <c r="I82" s="17" t="str">
        <f>IFERROR(__xludf.DUMMYFUNCTION("""COMPUTED_VALUE"""),"Delivered")</f>
        <v>Delivered</v>
      </c>
      <c r="J82" s="18">
        <f>IFERROR(__xludf.DUMMYFUNCTION("""COMPUTED_VALUE"""),45809.37627314815)</f>
        <v>45809.37627</v>
      </c>
    </row>
    <row r="83">
      <c r="A83" s="18">
        <f>IFERROR(__xludf.DUMMYFUNCTION("""COMPUTED_VALUE"""),45806.42952546296)</f>
        <v>45806.42953</v>
      </c>
      <c r="B83" s="17" t="str">
        <f>IFERROR(__xludf.DUMMYFUNCTION("""COMPUTED_VALUE"""),"Brown Nike of size 36")</f>
        <v>Brown Nike of size 36</v>
      </c>
      <c r="C83" s="17" t="str">
        <f>IFERROR(__xludf.DUMMYFUNCTION("""COMPUTED_VALUE"""),"Salin")</f>
        <v>Salin</v>
      </c>
      <c r="D83" s="17" t="str">
        <f>IFERROR(__xludf.DUMMYFUNCTION("""COMPUTED_VALUE"""),"Dilli bazzar, ktm")</f>
        <v>Dilli bazzar, ktm</v>
      </c>
      <c r="E83" s="17">
        <f>IFERROR(__xludf.DUMMYFUNCTION("""COMPUTED_VALUE"""),9.847148778E9)</f>
        <v>9847148778</v>
      </c>
      <c r="F83" s="19">
        <f>IFERROR(__xludf.DUMMYFUNCTION("""COMPUTED_VALUE"""),300.0)</f>
        <v>300</v>
      </c>
      <c r="G83" s="19">
        <f>IFERROR(__xludf.DUMMYFUNCTION("""COMPUTED_VALUE"""),1300.0)</f>
        <v>1300</v>
      </c>
      <c r="H83" s="19">
        <f>IFERROR(__xludf.DUMMYFUNCTION("""COMPUTED_VALUE"""),3.25)</f>
        <v>3.25</v>
      </c>
      <c r="I83" s="17" t="str">
        <f>IFERROR(__xludf.DUMMYFUNCTION("""COMPUTED_VALUE"""),"Delivered")</f>
        <v>Delivered</v>
      </c>
      <c r="J83" s="18">
        <f>IFERROR(__xludf.DUMMYFUNCTION("""COMPUTED_VALUE"""),45807.29958333333)</f>
        <v>45807.29958</v>
      </c>
    </row>
    <row r="84">
      <c r="A84" s="18">
        <f>IFERROR(__xludf.DUMMYFUNCTION("""COMPUTED_VALUE"""),45806.188692129625)</f>
        <v>45806.18869</v>
      </c>
      <c r="B84" s="17" t="str">
        <f>IFERROR(__xludf.DUMMYFUNCTION("""COMPUTED_VALUE"""),"Vans shoes size 37")</f>
        <v>Vans shoes size 37</v>
      </c>
      <c r="C84" s="17" t="str">
        <f>IFERROR(__xludf.DUMMYFUNCTION("""COMPUTED_VALUE"""),"Bikash chaulagain")</f>
        <v>Bikash chaulagain</v>
      </c>
      <c r="D84" s="17" t="str">
        <f>IFERROR(__xludf.DUMMYFUNCTION("""COMPUTED_VALUE"""),"Kalikot tadi")</f>
        <v>Kalikot tadi</v>
      </c>
      <c r="E84" s="17">
        <f>IFERROR(__xludf.DUMMYFUNCTION("""COMPUTED_VALUE"""),9.76545561E9)</f>
        <v>9765455610</v>
      </c>
      <c r="F84" s="19">
        <f>IFERROR(__xludf.DUMMYFUNCTION("""COMPUTED_VALUE"""),0.0)</f>
        <v>0</v>
      </c>
      <c r="G84" s="19">
        <f>IFERROR(__xludf.DUMMYFUNCTION("""COMPUTED_VALUE"""),1300.0)</f>
        <v>1300</v>
      </c>
      <c r="H84" s="19">
        <f>IFERROR(__xludf.DUMMYFUNCTION("""COMPUTED_VALUE"""),82.25)</f>
        <v>82.25</v>
      </c>
      <c r="I84" s="17" t="str">
        <f>IFERROR(__xludf.DUMMYFUNCTION("""COMPUTED_VALUE"""),"Delivered")</f>
        <v>Delivered</v>
      </c>
      <c r="J84" s="18">
        <f>IFERROR(__xludf.DUMMYFUNCTION("""COMPUTED_VALUE"""),45809.5961574074)</f>
        <v>45809.59616</v>
      </c>
    </row>
    <row r="85">
      <c r="A85" s="18">
        <f>IFERROR(__xludf.DUMMYFUNCTION("""COMPUTED_VALUE"""),45806.185381944444)</f>
        <v>45806.18538</v>
      </c>
      <c r="B85" s="17" t="str">
        <f>IFERROR(__xludf.DUMMYFUNCTION("""COMPUTED_VALUE"""),"White shoes size 43")</f>
        <v>White shoes size 43</v>
      </c>
      <c r="C85" s="17" t="str">
        <f>IFERROR(__xludf.DUMMYFUNCTION("""COMPUTED_VALUE"""),"Nabin")</f>
        <v>Nabin</v>
      </c>
      <c r="D85" s="17" t="str">
        <f>IFERROR(__xludf.DUMMYFUNCTION("""COMPUTED_VALUE"""),"Bhaktapur duwakot near kmc hospital")</f>
        <v>Bhaktapur duwakot near kmc hospital</v>
      </c>
      <c r="E85" s="17">
        <f>IFERROR(__xludf.DUMMYFUNCTION("""COMPUTED_VALUE"""),9.849083465E9)</f>
        <v>9849083465</v>
      </c>
      <c r="F85" s="19">
        <f>IFERROR(__xludf.DUMMYFUNCTION("""COMPUTED_VALUE"""),300.0)</f>
        <v>300</v>
      </c>
      <c r="G85" s="19">
        <f>IFERROR(__xludf.DUMMYFUNCTION("""COMPUTED_VALUE"""),1300.0)</f>
        <v>1300</v>
      </c>
      <c r="H85" s="19">
        <f>IFERROR(__xludf.DUMMYFUNCTION("""COMPUTED_VALUE"""),3.25)</f>
        <v>3.25</v>
      </c>
      <c r="I85" s="17" t="str">
        <f>IFERROR(__xludf.DUMMYFUNCTION("""COMPUTED_VALUE"""),"Delivered")</f>
        <v>Delivered</v>
      </c>
      <c r="J85" s="18">
        <f>IFERROR(__xludf.DUMMYFUNCTION("""COMPUTED_VALUE"""),45806.49050925926)</f>
        <v>45806.49051</v>
      </c>
    </row>
    <row r="86">
      <c r="A86" s="18">
        <f>IFERROR(__xludf.DUMMYFUNCTION("""COMPUTED_VALUE"""),45806.18256944444)</f>
        <v>45806.18257</v>
      </c>
      <c r="B86" s="17" t="str">
        <f>IFERROR(__xludf.DUMMYFUNCTION("""COMPUTED_VALUE"""),"Sr shoes size 39")</f>
        <v>Sr shoes size 39</v>
      </c>
      <c r="C86" s="17" t="str">
        <f>IFERROR(__xludf.DUMMYFUNCTION("""COMPUTED_VALUE"""),"Siddharth")</f>
        <v>Siddharth</v>
      </c>
      <c r="D86" s="17" t="str">
        <f>IFERROR(__xludf.DUMMYFUNCTION("""COMPUTED_VALUE"""),"PepsiCola kapur garden, ktm")</f>
        <v>PepsiCola kapur garden, ktm</v>
      </c>
      <c r="E86" s="17">
        <f>IFERROR(__xludf.DUMMYFUNCTION("""COMPUTED_VALUE"""),9.865111985E9)</f>
        <v>9865111985</v>
      </c>
      <c r="F86" s="19">
        <f>IFERROR(__xludf.DUMMYFUNCTION("""COMPUTED_VALUE"""),260.0)</f>
        <v>260</v>
      </c>
      <c r="G86" s="19">
        <f>IFERROR(__xludf.DUMMYFUNCTION("""COMPUTED_VALUE"""),1260.0)</f>
        <v>1260</v>
      </c>
      <c r="H86" s="19">
        <f>IFERROR(__xludf.DUMMYFUNCTION("""COMPUTED_VALUE"""),3.15)</f>
        <v>3.15</v>
      </c>
      <c r="I86" s="17" t="str">
        <f>IFERROR(__xludf.DUMMYFUNCTION("""COMPUTED_VALUE"""),"Delivered")</f>
        <v>Delivered</v>
      </c>
      <c r="J86" s="18">
        <f>IFERROR(__xludf.DUMMYFUNCTION("""COMPUTED_VALUE"""),45806.51385416667)</f>
        <v>45806.51385</v>
      </c>
    </row>
    <row r="87">
      <c r="A87" s="18">
        <f>IFERROR(__xludf.DUMMYFUNCTION("""COMPUTED_VALUE"""),45806.17908564815)</f>
        <v>45806.17909</v>
      </c>
      <c r="B87" s="17" t="str">
        <f>IFERROR(__xludf.DUMMYFUNCTION("""COMPUTED_VALUE"""),"Samba shoes size 37")</f>
        <v>Samba shoes size 37</v>
      </c>
      <c r="C87" s="17" t="str">
        <f>IFERROR(__xludf.DUMMYFUNCTION("""COMPUTED_VALUE"""),"Jenny kumal")</f>
        <v>Jenny kumal</v>
      </c>
      <c r="D87" s="17" t="str">
        <f>IFERROR(__xludf.DUMMYFUNCTION("""COMPUTED_VALUE"""),"Kushma parbat")</f>
        <v>Kushma parbat</v>
      </c>
      <c r="E87" s="17">
        <f>IFERROR(__xludf.DUMMYFUNCTION("""COMPUTED_VALUE"""),9.805122929E9)</f>
        <v>9805122929</v>
      </c>
      <c r="F87" s="19">
        <f>IFERROR(__xludf.DUMMYFUNCTION("""COMPUTED_VALUE"""),300.0)</f>
        <v>300</v>
      </c>
      <c r="G87" s="19">
        <f>IFERROR(__xludf.DUMMYFUNCTION("""COMPUTED_VALUE"""),1300.0)</f>
        <v>1300</v>
      </c>
      <c r="H87" s="19">
        <f>IFERROR(__xludf.DUMMYFUNCTION("""COMPUTED_VALUE"""),82.25)</f>
        <v>82.25</v>
      </c>
      <c r="I87" s="17" t="str">
        <f>IFERROR(__xludf.DUMMYFUNCTION("""COMPUTED_VALUE"""),"Delivered")</f>
        <v>Delivered</v>
      </c>
      <c r="J87" s="18">
        <f>IFERROR(__xludf.DUMMYFUNCTION("""COMPUTED_VALUE"""),45813.317291666666)</f>
        <v>45813.31729</v>
      </c>
    </row>
    <row r="88">
      <c r="A88" s="18">
        <f>IFERROR(__xludf.DUMMYFUNCTION("""COMPUTED_VALUE"""),45806.17574074074)</f>
        <v>45806.17574</v>
      </c>
      <c r="B88" s="17" t="str">
        <f>IFERROR(__xludf.DUMMYFUNCTION("""COMPUTED_VALUE"""),"Dr. Martin single sole size 41")</f>
        <v>Dr. Martin single sole size 41</v>
      </c>
      <c r="C88" s="17" t="str">
        <f>IFERROR(__xludf.DUMMYFUNCTION("""COMPUTED_VALUE"""),"Ram karki")</f>
        <v>Ram karki</v>
      </c>
      <c r="D88" s="17" t="str">
        <f>IFERROR(__xludf.DUMMYFUNCTION("""COMPUTED_VALUE"""),"Bhojpur")</f>
        <v>Bhojpur</v>
      </c>
      <c r="E88" s="17">
        <f>IFERROR(__xludf.DUMMYFUNCTION("""COMPUTED_VALUE"""),9.864549595E9)</f>
        <v>9864549595</v>
      </c>
      <c r="F88" s="19">
        <f>IFERROR(__xludf.DUMMYFUNCTION("""COMPUTED_VALUE"""),300.0)</f>
        <v>300</v>
      </c>
      <c r="G88" s="19">
        <f>IFERROR(__xludf.DUMMYFUNCTION("""COMPUTED_VALUE"""),1300.0)</f>
        <v>1300</v>
      </c>
      <c r="H88" s="19">
        <f>IFERROR(__xludf.DUMMYFUNCTION("""COMPUTED_VALUE"""),82.25)</f>
        <v>82.25</v>
      </c>
      <c r="I88" s="17" t="str">
        <f>IFERROR(__xludf.DUMMYFUNCTION("""COMPUTED_VALUE"""),"Delivered")</f>
        <v>Delivered</v>
      </c>
      <c r="J88" s="18">
        <f>IFERROR(__xludf.DUMMYFUNCTION("""COMPUTED_VALUE"""),45809.59614583333)</f>
        <v>45809.59615</v>
      </c>
    </row>
    <row r="89">
      <c r="A89" s="18">
        <f>IFERROR(__xludf.DUMMYFUNCTION("""COMPUTED_VALUE"""),45806.172673611116)</f>
        <v>45806.17267</v>
      </c>
      <c r="B89" s="17" t="str">
        <f>IFERROR(__xludf.DUMMYFUNCTION("""COMPUTED_VALUE"""),"Sport shoes Nike waterproof size 42")</f>
        <v>Sport shoes Nike waterproof size 42</v>
      </c>
      <c r="C89" s="17" t="str">
        <f>IFERROR(__xludf.DUMMYFUNCTION("""COMPUTED_VALUE"""),"Dil Bahadur pariyar")</f>
        <v>Dil Bahadur pariyar</v>
      </c>
      <c r="D89" s="17" t="str">
        <f>IFERROR(__xludf.DUMMYFUNCTION("""COMPUTED_VALUE"""),"Pokhara 18, besitol near baglung buspark")</f>
        <v>Pokhara 18, besitol near baglung buspark</v>
      </c>
      <c r="E89" s="17">
        <f>IFERROR(__xludf.DUMMYFUNCTION("""COMPUTED_VALUE"""),9.805885012E9)</f>
        <v>9805885012</v>
      </c>
      <c r="F89" s="19">
        <f>IFERROR(__xludf.DUMMYFUNCTION("""COMPUTED_VALUE"""),300.0)</f>
        <v>300</v>
      </c>
      <c r="G89" s="19">
        <f>IFERROR(__xludf.DUMMYFUNCTION("""COMPUTED_VALUE"""),1300.0)</f>
        <v>1300</v>
      </c>
      <c r="H89" s="19">
        <f>IFERROR(__xludf.DUMMYFUNCTION("""COMPUTED_VALUE"""),82.25)</f>
        <v>82.25</v>
      </c>
      <c r="I89" s="17" t="str">
        <f>IFERROR(__xludf.DUMMYFUNCTION("""COMPUTED_VALUE"""),"Delivered")</f>
        <v>Delivered</v>
      </c>
      <c r="J89" s="18">
        <f>IFERROR(__xludf.DUMMYFUNCTION("""COMPUTED_VALUE"""),45807.33319444444)</f>
        <v>45807.33319</v>
      </c>
    </row>
    <row r="90">
      <c r="A90" s="18">
        <f>IFERROR(__xludf.DUMMYFUNCTION("""COMPUTED_VALUE"""),45785.089317129634)</f>
        <v>45785.08932</v>
      </c>
      <c r="B90" s="17" t="str">
        <f>IFERROR(__xludf.DUMMYFUNCTION("""COMPUTED_VALUE"""),"Red jordan")</f>
        <v>Red jordan</v>
      </c>
      <c r="C90" s="17" t="str">
        <f>IFERROR(__xludf.DUMMYFUNCTION("""COMPUTED_VALUE"""),"Aditya mukhiya bin")</f>
        <v>Aditya mukhiya bin</v>
      </c>
      <c r="D90" s="17" t="str">
        <f>IFERROR(__xludf.DUMMYFUNCTION("""COMPUTED_VALUE"""),"Mmc college road, manakamana chowk, hetauda")</f>
        <v>Mmc college road, manakamana chowk, hetauda</v>
      </c>
      <c r="E90" s="17">
        <f>IFERROR(__xludf.DUMMYFUNCTION("""COMPUTED_VALUE"""),9.704578101E9)</f>
        <v>9704578101</v>
      </c>
      <c r="F90" s="19">
        <f>IFERROR(__xludf.DUMMYFUNCTION("""COMPUTED_VALUE"""),200.0)</f>
        <v>200</v>
      </c>
      <c r="G90" s="19">
        <f>IFERROR(__xludf.DUMMYFUNCTION("""COMPUTED_VALUE"""),1200.0)</f>
        <v>1200</v>
      </c>
      <c r="H90" s="19">
        <f>IFERROR(__xludf.DUMMYFUNCTION("""COMPUTED_VALUE"""),3.0)</f>
        <v>3</v>
      </c>
      <c r="I90" s="17" t="str">
        <f>IFERROR(__xludf.DUMMYFUNCTION("""COMPUTED_VALUE"""),"Delivered")</f>
        <v>Delivered</v>
      </c>
      <c r="J90" s="18">
        <f>IFERROR(__xludf.DUMMYFUNCTION("""COMPUTED_VALUE"""),45786.363078703704)</f>
        <v>45786.36308</v>
      </c>
    </row>
    <row r="91">
      <c r="A91" s="18">
        <f>IFERROR(__xludf.DUMMYFUNCTION("""COMPUTED_VALUE"""),45785.08814814815)</f>
        <v>45785.08815</v>
      </c>
      <c r="B91" s="17" t="str">
        <f>IFERROR(__xludf.DUMMYFUNCTION("""COMPUTED_VALUE"""),"Maroon full Jordan of size 42")</f>
        <v>Maroon full Jordan of size 42</v>
      </c>
      <c r="C91" s="17" t="str">
        <f>IFERROR(__xludf.DUMMYFUNCTION("""COMPUTED_VALUE"""),"Dany")</f>
        <v>Dany</v>
      </c>
      <c r="D91" s="17" t="str">
        <f>IFERROR(__xludf.DUMMYFUNCTION("""COMPUTED_VALUE"""),"Katari, udayapur")</f>
        <v>Katari, udayapur</v>
      </c>
      <c r="E91" s="17">
        <f>IFERROR(__xludf.DUMMYFUNCTION("""COMPUTED_VALUE"""),9.708876627E9)</f>
        <v>9708876627</v>
      </c>
      <c r="F91" s="19">
        <f>IFERROR(__xludf.DUMMYFUNCTION("""COMPUTED_VALUE"""),200.0)</f>
        <v>200</v>
      </c>
      <c r="G91" s="19">
        <f>IFERROR(__xludf.DUMMYFUNCTION("""COMPUTED_VALUE"""),1200.0)</f>
        <v>1200</v>
      </c>
      <c r="H91" s="19">
        <f>IFERROR(__xludf.DUMMYFUNCTION("""COMPUTED_VALUE"""),3.0)</f>
        <v>3</v>
      </c>
      <c r="I91" s="17" t="str">
        <f>IFERROR(__xludf.DUMMYFUNCTION("""COMPUTED_VALUE"""),"Delivered")</f>
        <v>Delivered</v>
      </c>
      <c r="J91" s="18">
        <f>IFERROR(__xludf.DUMMYFUNCTION("""COMPUTED_VALUE"""),45790.40101851852)</f>
        <v>45790.40102</v>
      </c>
    </row>
    <row r="92">
      <c r="A92" s="18">
        <f>IFERROR(__xludf.DUMMYFUNCTION("""COMPUTED_VALUE"""),45782.225543981476)</f>
        <v>45782.22554</v>
      </c>
      <c r="B92" s="17" t="str">
        <f>IFERROR(__xludf.DUMMYFUNCTION("""COMPUTED_VALUE"""),"Red full Jordan and white Nike of size 41 costing RS. 1200 each")</f>
        <v>Red full Jordan and white Nike of size 41 costing RS. 1200 each</v>
      </c>
      <c r="C92" s="17" t="str">
        <f>IFERROR(__xludf.DUMMYFUNCTION("""COMPUTED_VALUE"""),"Arman Kapar")</f>
        <v>Arman Kapar</v>
      </c>
      <c r="D92" s="17" t="str">
        <f>IFERROR(__xludf.DUMMYFUNCTION("""COMPUTED_VALUE"""),"Gyanseshwor Chowk opposite of German embassy")</f>
        <v>Gyanseshwor Chowk opposite of German embassy</v>
      </c>
      <c r="E92" s="17">
        <f>IFERROR(__xludf.DUMMYFUNCTION("""COMPUTED_VALUE"""),9.813149928E9)</f>
        <v>9813149928</v>
      </c>
      <c r="F92" s="19">
        <f>IFERROR(__xludf.DUMMYFUNCTION("""COMPUTED_VALUE"""),400.0)</f>
        <v>400</v>
      </c>
      <c r="G92" s="19">
        <f>IFERROR(__xludf.DUMMYFUNCTION("""COMPUTED_VALUE"""),2400.0)</f>
        <v>2400</v>
      </c>
      <c r="H92" s="19">
        <f>IFERROR(__xludf.DUMMYFUNCTION("""COMPUTED_VALUE"""),6.0)</f>
        <v>6</v>
      </c>
      <c r="I92" s="17" t="str">
        <f>IFERROR(__xludf.DUMMYFUNCTION("""COMPUTED_VALUE"""),"Delivered")</f>
        <v>Delivered</v>
      </c>
      <c r="J92" s="18">
        <f>IFERROR(__xludf.DUMMYFUNCTION("""COMPUTED_VALUE"""),45783.21871527778)</f>
        <v>45783.21872</v>
      </c>
    </row>
    <row r="93">
      <c r="A93" s="18">
        <f>IFERROR(__xludf.DUMMYFUNCTION("""COMPUTED_VALUE"""),45782.1949537037)</f>
        <v>45782.19495</v>
      </c>
      <c r="B93" s="17" t="str">
        <f>IFERROR(__xludf.DUMMYFUNCTION("""COMPUTED_VALUE"""),"Sb dunk low pro of size 42 costing RS. 1200")</f>
        <v>Sb dunk low pro of size 42 costing RS. 1200</v>
      </c>
      <c r="C93" s="17" t="str">
        <f>IFERROR(__xludf.DUMMYFUNCTION("""COMPUTED_VALUE"""),"Iman Panta")</f>
        <v>Iman Panta</v>
      </c>
      <c r="D93" s="17" t="str">
        <f>IFERROR(__xludf.DUMMYFUNCTION("""COMPUTED_VALUE"""),"Dungedhara-16, basanthali")</f>
        <v>Dungedhara-16, basanthali</v>
      </c>
      <c r="E93" s="17">
        <f>IFERROR(__xludf.DUMMYFUNCTION("""COMPUTED_VALUE"""),9.709300431E9)</f>
        <v>9709300431</v>
      </c>
      <c r="F93" s="19">
        <f>IFERROR(__xludf.DUMMYFUNCTION("""COMPUTED_VALUE"""),200.0)</f>
        <v>200</v>
      </c>
      <c r="G93" s="19">
        <f>IFERROR(__xludf.DUMMYFUNCTION("""COMPUTED_VALUE"""),1200.0)</f>
        <v>1200</v>
      </c>
      <c r="H93" s="19">
        <f>IFERROR(__xludf.DUMMYFUNCTION("""COMPUTED_VALUE"""),3.0)</f>
        <v>3</v>
      </c>
      <c r="I93" s="17" t="str">
        <f>IFERROR(__xludf.DUMMYFUNCTION("""COMPUTED_VALUE"""),"Delivered")</f>
        <v>Delivered</v>
      </c>
      <c r="J93" s="18">
        <f>IFERROR(__xludf.DUMMYFUNCTION("""COMPUTED_VALUE"""),45782.53430555556)</f>
        <v>45782.53431</v>
      </c>
    </row>
    <row r="94">
      <c r="A94" s="18">
        <f>IFERROR(__xludf.DUMMYFUNCTION("""COMPUTED_VALUE"""),45782.15113425926)</f>
        <v>45782.15113</v>
      </c>
      <c r="B94" s="17" t="str">
        <f>IFERROR(__xludf.DUMMYFUNCTION("""COMPUTED_VALUE"""),"Black Nike shoes of size 43 costing RS. 1200")</f>
        <v>Black Nike shoes of size 43 costing RS. 1200</v>
      </c>
      <c r="C94" s="17" t="str">
        <f>IFERROR(__xludf.DUMMYFUNCTION("""COMPUTED_VALUE"""),"Roshan Rajbanshi")</f>
        <v>Roshan Rajbanshi</v>
      </c>
      <c r="D94" s="17" t="str">
        <f>IFERROR(__xludf.DUMMYFUNCTION("""COMPUTED_VALUE"""),"Kakarvitta( Mechinagar-7, satighatta)")</f>
        <v>Kakarvitta( Mechinagar-7, satighatta)</v>
      </c>
      <c r="E94" s="17">
        <f>IFERROR(__xludf.DUMMYFUNCTION("""COMPUTED_VALUE"""),9.807919104E9)</f>
        <v>9807919104</v>
      </c>
      <c r="F94" s="19">
        <f>IFERROR(__xludf.DUMMYFUNCTION("""COMPUTED_VALUE"""),200.0)</f>
        <v>200</v>
      </c>
      <c r="G94" s="19">
        <f>IFERROR(__xludf.DUMMYFUNCTION("""COMPUTED_VALUE"""),1200.0)</f>
        <v>1200</v>
      </c>
      <c r="H94" s="19">
        <f>IFERROR(__xludf.DUMMYFUNCTION("""COMPUTED_VALUE"""),3.0)</f>
        <v>3</v>
      </c>
      <c r="I94" s="17" t="str">
        <f>IFERROR(__xludf.DUMMYFUNCTION("""COMPUTED_VALUE"""),"Delivered")</f>
        <v>Delivered</v>
      </c>
      <c r="J94" s="18">
        <f>IFERROR(__xludf.DUMMYFUNCTION("""COMPUTED_VALUE"""),45785.47127314815)</f>
        <v>45785.47127</v>
      </c>
    </row>
    <row r="95">
      <c r="A95" s="18">
        <f>IFERROR(__xludf.DUMMYFUNCTION("""COMPUTED_VALUE"""),45782.14842592593)</f>
        <v>45782.14843</v>
      </c>
      <c r="B95" s="17" t="str">
        <f>IFERROR(__xludf.DUMMYFUNCTION("""COMPUTED_VALUE"""),"Chocolaty Nike and black tbl of size 43 costing RS 1200 each")</f>
        <v>Chocolaty Nike and black tbl of size 43 costing RS 1200 each</v>
      </c>
      <c r="C95" s="17" t="str">
        <f>IFERROR(__xludf.DUMMYFUNCTION("""COMPUTED_VALUE"""),"Marco Kapali")</f>
        <v>Marco Kapali</v>
      </c>
      <c r="D95" s="17" t="str">
        <f>IFERROR(__xludf.DUMMYFUNCTION("""COMPUTED_VALUE"""),"Thankoat")</f>
        <v>Thankoat</v>
      </c>
      <c r="E95" s="17">
        <f>IFERROR(__xludf.DUMMYFUNCTION("""COMPUTED_VALUE"""),9.741759216E9)</f>
        <v>9741759216</v>
      </c>
      <c r="F95" s="19">
        <f>IFERROR(__xludf.DUMMYFUNCTION("""COMPUTED_VALUE"""),400.0)</f>
        <v>400</v>
      </c>
      <c r="G95" s="19">
        <f>IFERROR(__xludf.DUMMYFUNCTION("""COMPUTED_VALUE"""),2400.0)</f>
        <v>2400</v>
      </c>
      <c r="H95" s="19">
        <f>IFERROR(__xludf.DUMMYFUNCTION("""COMPUTED_VALUE"""),6.0)</f>
        <v>6</v>
      </c>
      <c r="I95" s="17" t="str">
        <f>IFERROR(__xludf.DUMMYFUNCTION("""COMPUTED_VALUE"""),"Delivered")</f>
        <v>Delivered</v>
      </c>
      <c r="J95" s="18">
        <f>IFERROR(__xludf.DUMMYFUNCTION("""COMPUTED_VALUE"""),45783.400925925926)</f>
        <v>45783.40093</v>
      </c>
    </row>
    <row r="96">
      <c r="A96" s="18">
        <f>IFERROR(__xludf.DUMMYFUNCTION("""COMPUTED_VALUE"""),45781.22458333333)</f>
        <v>45781.22458</v>
      </c>
      <c r="B96" s="17" t="str">
        <f>IFERROR(__xludf.DUMMYFUNCTION("""COMPUTED_VALUE"""),"Veins size 40 costing RS. 1200")</f>
        <v>Veins size 40 costing RS. 1200</v>
      </c>
      <c r="C96" s="17" t="str">
        <f>IFERROR(__xludf.DUMMYFUNCTION("""COMPUTED_VALUE"""),"Amit Magar")</f>
        <v>Amit Magar</v>
      </c>
      <c r="D96" s="17" t="str">
        <f>IFERROR(__xludf.DUMMYFUNCTION("""COMPUTED_VALUE"""),"Dharan, bhanuchowk")</f>
        <v>Dharan, bhanuchowk</v>
      </c>
      <c r="E96" s="17">
        <f>IFERROR(__xludf.DUMMYFUNCTION("""COMPUTED_VALUE"""),9.84940118E9)</f>
        <v>9849401180</v>
      </c>
      <c r="F96" s="19">
        <f>IFERROR(__xludf.DUMMYFUNCTION("""COMPUTED_VALUE"""),600.0)</f>
        <v>600</v>
      </c>
      <c r="G96" s="19">
        <f>IFERROR(__xludf.DUMMYFUNCTION("""COMPUTED_VALUE"""),1200.0)</f>
        <v>1200</v>
      </c>
      <c r="H96" s="19">
        <f>IFERROR(__xludf.DUMMYFUNCTION("""COMPUTED_VALUE"""),3.0)</f>
        <v>3</v>
      </c>
      <c r="I96" s="17" t="str">
        <f>IFERROR(__xludf.DUMMYFUNCTION("""COMPUTED_VALUE"""),"Delivered")</f>
        <v>Delivered</v>
      </c>
      <c r="J96" s="18">
        <f>IFERROR(__xludf.DUMMYFUNCTION("""COMPUTED_VALUE"""),45783.40699074074)</f>
        <v>45783.40699</v>
      </c>
    </row>
    <row r="97">
      <c r="A97" s="18">
        <f>IFERROR(__xludf.DUMMYFUNCTION("""COMPUTED_VALUE"""),45781.123831018514)</f>
        <v>45781.12383</v>
      </c>
      <c r="B97" s="17" t="str">
        <f>IFERROR(__xludf.DUMMYFUNCTION("""COMPUTED_VALUE"""),"Jordan blue of size 43 and as well sb dunk low pro of size 42 costing RS. 1200 each")</f>
        <v>Jordan blue of size 43 and as well sb dunk low pro of size 42 costing RS. 1200 each</v>
      </c>
      <c r="C97" s="17" t="str">
        <f>IFERROR(__xludf.DUMMYFUNCTION("""COMPUTED_VALUE"""),"Arman Kapar")</f>
        <v>Arman Kapar</v>
      </c>
      <c r="D97" s="17" t="str">
        <f>IFERROR(__xludf.DUMMYFUNCTION("""COMPUTED_VALUE"""),"Gyaneshwor chowk")</f>
        <v>Gyaneshwor chowk</v>
      </c>
      <c r="E97" s="17">
        <f>IFERROR(__xludf.DUMMYFUNCTION("""COMPUTED_VALUE"""),9.813149928E9)</f>
        <v>9813149928</v>
      </c>
      <c r="F97" s="19">
        <f>IFERROR(__xludf.DUMMYFUNCTION("""COMPUTED_VALUE"""),0.0)</f>
        <v>0</v>
      </c>
      <c r="G97" s="19">
        <f>IFERROR(__xludf.DUMMYFUNCTION("""COMPUTED_VALUE"""),0.0)</f>
        <v>0</v>
      </c>
      <c r="H97" s="19">
        <f>IFERROR(__xludf.DUMMYFUNCTION("""COMPUTED_VALUE"""),0.0)</f>
        <v>0</v>
      </c>
      <c r="I97" s="17" t="str">
        <f>IFERROR(__xludf.DUMMYFUNCTION("""COMPUTED_VALUE"""),"Delivered")</f>
        <v>Delivered</v>
      </c>
      <c r="J97" s="18">
        <f>IFERROR(__xludf.DUMMYFUNCTION("""COMPUTED_VALUE"""),45781.425162037034)</f>
        <v>45781.42516</v>
      </c>
    </row>
    <row r="98">
      <c r="A98" s="18">
        <f>IFERROR(__xludf.DUMMYFUNCTION("""COMPUTED_VALUE"""),45780.74403935185)</f>
        <v>45780.74404</v>
      </c>
      <c r="B98" s="17" t="str">
        <f>IFERROR(__xludf.DUMMYFUNCTION("""COMPUTED_VALUE"""),"Jordan Vietnam red shoes and sb dunk low pro blue of size 42 costing RS. 1200 each")</f>
        <v>Jordan Vietnam red shoes and sb dunk low pro blue of size 42 costing RS. 1200 each</v>
      </c>
      <c r="C98" s="17" t="str">
        <f>IFERROR(__xludf.DUMMYFUNCTION("""COMPUTED_VALUE"""),"Dany")</f>
        <v>Dany</v>
      </c>
      <c r="D98" s="17" t="str">
        <f>IFERROR(__xludf.DUMMYFUNCTION("""COMPUTED_VALUE"""),"Katari, udayapur")</f>
        <v>Katari, udayapur</v>
      </c>
      <c r="E98" s="17">
        <f>IFERROR(__xludf.DUMMYFUNCTION("""COMPUTED_VALUE"""),9.708876627E9)</f>
        <v>9708876627</v>
      </c>
      <c r="F98" s="19">
        <f>IFERROR(__xludf.DUMMYFUNCTION("""COMPUTED_VALUE"""),200.0)</f>
        <v>200</v>
      </c>
      <c r="G98" s="19">
        <f>IFERROR(__xludf.DUMMYFUNCTION("""COMPUTED_VALUE"""),1200.0)</f>
        <v>1200</v>
      </c>
      <c r="H98" s="19">
        <f>IFERROR(__xludf.DUMMYFUNCTION("""COMPUTED_VALUE"""),3.0)</f>
        <v>3</v>
      </c>
      <c r="I98" s="17" t="str">
        <f>IFERROR(__xludf.DUMMYFUNCTION("""COMPUTED_VALUE"""),"Delivered")</f>
        <v>Delivered</v>
      </c>
      <c r="J98" s="18">
        <f>IFERROR(__xludf.DUMMYFUNCTION("""COMPUTED_VALUE"""),45785.37040509259)</f>
        <v>45785.37041</v>
      </c>
    </row>
    <row r="99">
      <c r="A99" s="18">
        <f>IFERROR(__xludf.DUMMYFUNCTION("""COMPUTED_VALUE"""),45780.16887731482)</f>
        <v>45780.16888</v>
      </c>
      <c r="B99" s="17" t="str">
        <f>IFERROR(__xludf.DUMMYFUNCTION("""COMPUTED_VALUE"""),"Vans shoes of size 40")</f>
        <v>Vans shoes of size 40</v>
      </c>
      <c r="C99" s="17" t="str">
        <f>IFERROR(__xludf.DUMMYFUNCTION("""COMPUTED_VALUE"""),"Madan Khanal")</f>
        <v>Madan Khanal</v>
      </c>
      <c r="D99" s="17" t="str">
        <f>IFERROR(__xludf.DUMMYFUNCTION("""COMPUTED_VALUE"""),"Milanchowk, butwal")</f>
        <v>Milanchowk, butwal</v>
      </c>
      <c r="E99" s="17">
        <f>IFERROR(__xludf.DUMMYFUNCTION("""COMPUTED_VALUE"""),9.844821643E9)</f>
        <v>9844821643</v>
      </c>
      <c r="F99" s="19">
        <f>IFERROR(__xludf.DUMMYFUNCTION("""COMPUTED_VALUE"""),600.0)</f>
        <v>600</v>
      </c>
      <c r="G99" s="19">
        <f>IFERROR(__xludf.DUMMYFUNCTION("""COMPUTED_VALUE"""),1200.0)</f>
        <v>1200</v>
      </c>
      <c r="H99" s="19">
        <f>IFERROR(__xludf.DUMMYFUNCTION("""COMPUTED_VALUE"""),3.0)</f>
        <v>3</v>
      </c>
      <c r="I99" s="17" t="str">
        <f>IFERROR(__xludf.DUMMYFUNCTION("""COMPUTED_VALUE"""),"Delivered")</f>
        <v>Delivered</v>
      </c>
      <c r="J99" s="18">
        <f>IFERROR(__xludf.DUMMYFUNCTION("""COMPUTED_VALUE"""),45783.40759259259)</f>
        <v>45783.40759</v>
      </c>
    </row>
    <row r="100">
      <c r="A100" s="18">
        <f>IFERROR(__xludf.DUMMYFUNCTION("""COMPUTED_VALUE"""),45780.13763888889)</f>
        <v>45780.13764</v>
      </c>
      <c r="B100" s="17" t="str">
        <f>IFERROR(__xludf.DUMMYFUNCTION("""COMPUTED_VALUE"""),"Black Nike of size 41 costing RS 1200")</f>
        <v>Black Nike of size 41 costing RS 1200</v>
      </c>
      <c r="C100" s="17" t="str">
        <f>IFERROR(__xludf.DUMMYFUNCTION("""COMPUTED_VALUE"""),"Tarzan Chhantyal")</f>
        <v>Tarzan Chhantyal</v>
      </c>
      <c r="D100" s="17" t="str">
        <f>IFERROR(__xludf.DUMMYFUNCTION("""COMPUTED_VALUE"""),"Dilu beauty parlour, tokha")</f>
        <v>Dilu beauty parlour, tokha</v>
      </c>
      <c r="E100" s="17">
        <f>IFERROR(__xludf.DUMMYFUNCTION("""COMPUTED_VALUE"""),9.808462623E9)</f>
        <v>9808462623</v>
      </c>
      <c r="F100" s="19">
        <f>IFERROR(__xludf.DUMMYFUNCTION("""COMPUTED_VALUE"""),200.0)</f>
        <v>200</v>
      </c>
      <c r="G100" s="19">
        <f>IFERROR(__xludf.DUMMYFUNCTION("""COMPUTED_VALUE"""),1200.0)</f>
        <v>1200</v>
      </c>
      <c r="H100" s="19">
        <f>IFERROR(__xludf.DUMMYFUNCTION("""COMPUTED_VALUE"""),3.0)</f>
        <v>3</v>
      </c>
      <c r="I100" s="17" t="str">
        <f>IFERROR(__xludf.DUMMYFUNCTION("""COMPUTED_VALUE"""),"Delivered")</f>
        <v>Delivered</v>
      </c>
      <c r="J100" s="18">
        <f>IFERROR(__xludf.DUMMYFUNCTION("""COMPUTED_VALUE"""),45780.549363425926)</f>
        <v>45780.54936</v>
      </c>
    </row>
    <row r="101">
      <c r="A101" s="18">
        <f>IFERROR(__xludf.DUMMYFUNCTION("""COMPUTED_VALUE"""),45779.77135416667)</f>
        <v>45779.77135</v>
      </c>
      <c r="B101" s="17" t="str">
        <f>IFERROR(__xludf.DUMMYFUNCTION("""COMPUTED_VALUE"""),"White and light chocolate Nike of size 42 costing RS. 1200 each")</f>
        <v>White and light chocolate Nike of size 42 costing RS. 1200 each</v>
      </c>
      <c r="C101" s="17" t="str">
        <f>IFERROR(__xludf.DUMMYFUNCTION("""COMPUTED_VALUE"""),"Rojbin Shrestha")</f>
        <v>Rojbin Shrestha</v>
      </c>
      <c r="D101" s="17" t="str">
        <f>IFERROR(__xludf.DUMMYFUNCTION("""COMPUTED_VALUE"""),"Sankhuwabha, bhanjyang ko lekhawali chwork ")</f>
        <v>Sankhuwabha, bhanjyang ko lekhawali chwork </v>
      </c>
      <c r="E101" s="17">
        <f>IFERROR(__xludf.DUMMYFUNCTION("""COMPUTED_VALUE"""),9.844112221E9)</f>
        <v>9844112221</v>
      </c>
      <c r="F101" s="19">
        <f>IFERROR(__xludf.DUMMYFUNCTION("""COMPUTED_VALUE"""),400.0)</f>
        <v>400</v>
      </c>
      <c r="G101" s="19">
        <f>IFERROR(__xludf.DUMMYFUNCTION("""COMPUTED_VALUE"""),2400.0)</f>
        <v>2400</v>
      </c>
      <c r="H101" s="19">
        <f>IFERROR(__xludf.DUMMYFUNCTION("""COMPUTED_VALUE"""),6.0)</f>
        <v>6</v>
      </c>
      <c r="I101" s="17" t="str">
        <f>IFERROR(__xludf.DUMMYFUNCTION("""COMPUTED_VALUE"""),"Delivered")</f>
        <v>Delivered</v>
      </c>
      <c r="J101" s="18">
        <f>IFERROR(__xludf.DUMMYFUNCTION("""COMPUTED_VALUE"""),45788.653715277775)</f>
        <v>45788.65372</v>
      </c>
    </row>
    <row r="102">
      <c r="A102" s="18">
        <f>IFERROR(__xludf.DUMMYFUNCTION("""COMPUTED_VALUE"""),45779.76646990741)</f>
        <v>45779.76647</v>
      </c>
      <c r="B102" s="17" t="str">
        <f>IFERROR(__xludf.DUMMYFUNCTION("""COMPUTED_VALUE"""),"Black Nike  and blue Jordan of size 42 each costing rs 1200 and 1200")</f>
        <v>Black Nike  and blue Jordan of size 42 each costing rs 1200 and 1200</v>
      </c>
      <c r="C102" s="17" t="str">
        <f>IFERROR(__xludf.DUMMYFUNCTION("""COMPUTED_VALUE"""),"Arman Kapar")</f>
        <v>Arman Kapar</v>
      </c>
      <c r="D102" s="17" t="str">
        <f>IFERROR(__xludf.DUMMYFUNCTION("""COMPUTED_VALUE"""),"Gyaneshwor marg chowk")</f>
        <v>Gyaneshwor marg chowk</v>
      </c>
      <c r="E102" s="17">
        <f>IFERROR(__xludf.DUMMYFUNCTION("""COMPUTED_VALUE"""),9.813149928E9)</f>
        <v>9813149928</v>
      </c>
      <c r="F102" s="19">
        <f>IFERROR(__xludf.DUMMYFUNCTION("""COMPUTED_VALUE"""),400.0)</f>
        <v>400</v>
      </c>
      <c r="G102" s="19">
        <f>IFERROR(__xludf.DUMMYFUNCTION("""COMPUTED_VALUE"""),2400.0)</f>
        <v>2400</v>
      </c>
      <c r="H102" s="19">
        <f>IFERROR(__xludf.DUMMYFUNCTION("""COMPUTED_VALUE"""),6.0)</f>
        <v>6</v>
      </c>
      <c r="I102" s="17" t="str">
        <f>IFERROR(__xludf.DUMMYFUNCTION("""COMPUTED_VALUE"""),"Delivered")</f>
        <v>Delivered</v>
      </c>
      <c r="J102" s="18">
        <f>IFERROR(__xludf.DUMMYFUNCTION("""COMPUTED_VALUE"""),45781.421435185184)</f>
        <v>45781.42144</v>
      </c>
    </row>
    <row r="103">
      <c r="A103" s="18">
        <f>IFERROR(__xludf.DUMMYFUNCTION("""COMPUTED_VALUE"""),45778.757893518516)</f>
        <v>45778.75789</v>
      </c>
      <c r="B103" s="17" t="str">
        <f>IFERROR(__xludf.DUMMYFUNCTION("""COMPUTED_VALUE"""),"nike black shoes of size 41")</f>
        <v>nike black shoes of size 41</v>
      </c>
      <c r="C103" s="17" t="str">
        <f>IFERROR(__xludf.DUMMYFUNCTION("""COMPUTED_VALUE"""),"Prabin Bishwokarma")</f>
        <v>Prabin Bishwokarma</v>
      </c>
      <c r="D103" s="17" t="str">
        <f>IFERROR(__xludf.DUMMYFUNCTION("""COMPUTED_VALUE"""),"suman driving centre, sukhedhara")</f>
        <v>suman driving centre, sukhedhara</v>
      </c>
      <c r="E103" s="17">
        <f>IFERROR(__xludf.DUMMYFUNCTION("""COMPUTED_VALUE"""),9.845832687E9)</f>
        <v>9845832687</v>
      </c>
      <c r="F103" s="19">
        <f>IFERROR(__xludf.DUMMYFUNCTION("""COMPUTED_VALUE"""),200.0)</f>
        <v>200</v>
      </c>
      <c r="G103" s="19">
        <f>IFERROR(__xludf.DUMMYFUNCTION("""COMPUTED_VALUE"""),1200.0)</f>
        <v>1200</v>
      </c>
      <c r="H103" s="19">
        <f>IFERROR(__xludf.DUMMYFUNCTION("""COMPUTED_VALUE"""),3.0)</f>
        <v>3</v>
      </c>
      <c r="I103" s="17" t="str">
        <f>IFERROR(__xludf.DUMMYFUNCTION("""COMPUTED_VALUE"""),"Delivered")</f>
        <v>Delivered</v>
      </c>
      <c r="J103" s="18">
        <f>IFERROR(__xludf.DUMMYFUNCTION("""COMPUTED_VALUE"""),45779.457141203704)</f>
        <v>45779.45714</v>
      </c>
    </row>
    <row r="104">
      <c r="A104" s="18">
        <f>IFERROR(__xludf.DUMMYFUNCTION("""COMPUTED_VALUE"""),45778.75530092593)</f>
        <v>45778.7553</v>
      </c>
      <c r="B104" s="17" t="str">
        <f>IFERROR(__xludf.DUMMYFUNCTION("""COMPUTED_VALUE"""),"nike black 43")</f>
        <v>nike black 43</v>
      </c>
      <c r="C104" s="17" t="str">
        <f>IFERROR(__xludf.DUMMYFUNCTION("""COMPUTED_VALUE"""),"Nischal Kamat")</f>
        <v>Nischal Kamat</v>
      </c>
      <c r="D104" s="17" t="str">
        <f>IFERROR(__xludf.DUMMYFUNCTION("""COMPUTED_VALUE"""),"sani mandir, biratnagar")</f>
        <v>sani mandir, biratnagar</v>
      </c>
      <c r="E104" s="17">
        <f>IFERROR(__xludf.DUMMYFUNCTION("""COMPUTED_VALUE"""),9.802756333E9)</f>
        <v>9802756333</v>
      </c>
      <c r="F104" s="19">
        <f>IFERROR(__xludf.DUMMYFUNCTION("""COMPUTED_VALUE"""),200.0)</f>
        <v>200</v>
      </c>
      <c r="G104" s="19">
        <f>IFERROR(__xludf.DUMMYFUNCTION("""COMPUTED_VALUE"""),1200.0)</f>
        <v>1200</v>
      </c>
      <c r="H104" s="19">
        <f>IFERROR(__xludf.DUMMYFUNCTION("""COMPUTED_VALUE"""),3.0)</f>
        <v>3</v>
      </c>
      <c r="I104" s="17" t="str">
        <f>IFERROR(__xludf.DUMMYFUNCTION("""COMPUTED_VALUE"""),"Delivered")</f>
        <v>Delivered</v>
      </c>
      <c r="J104" s="18">
        <f>IFERROR(__xludf.DUMMYFUNCTION("""COMPUTED_VALUE"""),45782.23881944444)</f>
        <v>45782.23882</v>
      </c>
    </row>
    <row r="105">
      <c r="A105" s="18">
        <f>IFERROR(__xludf.DUMMYFUNCTION("""COMPUTED_VALUE"""),45778.727476851855)</f>
        <v>45778.72748</v>
      </c>
      <c r="B105" s="17" t="str">
        <f>IFERROR(__xludf.DUMMYFUNCTION("""COMPUTED_VALUE"""),"black and brown shoes of size 39 each costing Rs 1200 each")</f>
        <v>black and brown shoes of size 39 each costing Rs 1200 each</v>
      </c>
      <c r="C105" s="17" t="str">
        <f>IFERROR(__xludf.DUMMYFUNCTION("""COMPUTED_VALUE"""),"Shree Krishna Sapkota")</f>
        <v>Shree Krishna Sapkota</v>
      </c>
      <c r="D105" s="17" t="str">
        <f>IFERROR(__xludf.DUMMYFUNCTION("""COMPUTED_VALUE"""),"beni, myagdi")</f>
        <v>beni, myagdi</v>
      </c>
      <c r="E105" s="17">
        <f>IFERROR(__xludf.DUMMYFUNCTION("""COMPUTED_VALUE"""),9.769477499E9)</f>
        <v>9769477499</v>
      </c>
      <c r="F105" s="19">
        <f>IFERROR(__xludf.DUMMYFUNCTION("""COMPUTED_VALUE"""),400.0)</f>
        <v>400</v>
      </c>
      <c r="G105" s="19">
        <f>IFERROR(__xludf.DUMMYFUNCTION("""COMPUTED_VALUE"""),2400.0)</f>
        <v>2400</v>
      </c>
      <c r="H105" s="19">
        <f>IFERROR(__xludf.DUMMYFUNCTION("""COMPUTED_VALUE"""),6.0)</f>
        <v>6</v>
      </c>
      <c r="I105" s="17" t="str">
        <f>IFERROR(__xludf.DUMMYFUNCTION("""COMPUTED_VALUE"""),"Delivered")</f>
        <v>Delivered</v>
      </c>
      <c r="J105" s="18">
        <f>IFERROR(__xludf.DUMMYFUNCTION("""COMPUTED_VALUE"""),45783.272986111115)</f>
        <v>45783.27299</v>
      </c>
    </row>
    <row r="106">
      <c r="A106" s="18">
        <f>IFERROR(__xludf.DUMMYFUNCTION("""COMPUTED_VALUE"""),45777.779131944444)</f>
        <v>45777.77913</v>
      </c>
      <c r="B106" s="17" t="str">
        <f>IFERROR(__xludf.DUMMYFUNCTION("""COMPUTED_VALUE"""),"nike light chocolate shoes of size 43 costing rs 1200")</f>
        <v>nike light chocolate shoes of size 43 costing rs 1200</v>
      </c>
      <c r="C106" s="17" t="str">
        <f>IFERROR(__xludf.DUMMYFUNCTION("""COMPUTED_VALUE"""),"Raaj Gurung")</f>
        <v>Raaj Gurung</v>
      </c>
      <c r="D106" s="17" t="str">
        <f>IFERROR(__xludf.DUMMYFUNCTION("""COMPUTED_VALUE"""),"galeswor chowk")</f>
        <v>galeswor chowk</v>
      </c>
      <c r="E106" s="17">
        <f>IFERROR(__xludf.DUMMYFUNCTION("""COMPUTED_VALUE"""),9.844942842E9)</f>
        <v>9844942842</v>
      </c>
      <c r="F106" s="19">
        <f>IFERROR(__xludf.DUMMYFUNCTION("""COMPUTED_VALUE"""),200.0)</f>
        <v>200</v>
      </c>
      <c r="G106" s="19">
        <f>IFERROR(__xludf.DUMMYFUNCTION("""COMPUTED_VALUE"""),1200.0)</f>
        <v>1200</v>
      </c>
      <c r="H106" s="19">
        <f>IFERROR(__xludf.DUMMYFUNCTION("""COMPUTED_VALUE"""),3.0)</f>
        <v>3</v>
      </c>
      <c r="I106" s="17" t="str">
        <f>IFERROR(__xludf.DUMMYFUNCTION("""COMPUTED_VALUE"""),"Delivered")</f>
        <v>Delivered</v>
      </c>
      <c r="J106" s="18">
        <f>IFERROR(__xludf.DUMMYFUNCTION("""COMPUTED_VALUE"""),45779.30043981482)</f>
        <v>45779.30044</v>
      </c>
    </row>
    <row r="107">
      <c r="A107" s="18">
        <f>IFERROR(__xludf.DUMMYFUNCTION("""COMPUTED_VALUE"""),45777.771006944444)</f>
        <v>45777.77101</v>
      </c>
      <c r="B107" s="17" t="str">
        <f>IFERROR(__xludf.DUMMYFUNCTION("""COMPUTED_VALUE"""),"white nike sneakers of size 43 costing rs 1200")</f>
        <v>white nike sneakers of size 43 costing rs 1200</v>
      </c>
      <c r="C107" s="17" t="str">
        <f>IFERROR(__xludf.DUMMYFUNCTION("""COMPUTED_VALUE"""),"Aashish Ghimire")</f>
        <v>Aashish Ghimire</v>
      </c>
      <c r="D107" s="17" t="str">
        <f>IFERROR(__xludf.DUMMYFUNCTION("""COMPUTED_VALUE"""),"saljhandi, sainamaina")</f>
        <v>saljhandi, sainamaina</v>
      </c>
      <c r="E107" s="17">
        <f>IFERROR(__xludf.DUMMYFUNCTION("""COMPUTED_VALUE"""),9.702238371E9)</f>
        <v>9702238371</v>
      </c>
      <c r="F107" s="19">
        <f>IFERROR(__xludf.DUMMYFUNCTION("""COMPUTED_VALUE"""),200.0)</f>
        <v>200</v>
      </c>
      <c r="G107" s="19">
        <f>IFERROR(__xludf.DUMMYFUNCTION("""COMPUTED_VALUE"""),1200.0)</f>
        <v>1200</v>
      </c>
      <c r="H107" s="19">
        <f>IFERROR(__xludf.DUMMYFUNCTION("""COMPUTED_VALUE"""),3.0)</f>
        <v>3</v>
      </c>
      <c r="I107" s="17" t="str">
        <f>IFERROR(__xludf.DUMMYFUNCTION("""COMPUTED_VALUE"""),"Delivered")</f>
        <v>Delivered</v>
      </c>
      <c r="J107" s="18">
        <f>IFERROR(__xludf.DUMMYFUNCTION("""COMPUTED_VALUE"""),45781.30608796296)</f>
        <v>45781.30609</v>
      </c>
    </row>
    <row r="108">
      <c r="A108" s="18">
        <f>IFERROR(__xludf.DUMMYFUNCTION("""COMPUTED_VALUE"""),45777.76733796296)</f>
        <v>45777.76734</v>
      </c>
      <c r="B108" s="17" t="str">
        <f>IFERROR(__xludf.DUMMYFUNCTION("""COMPUTED_VALUE"""),"veins shoes of size 39 costing rs 1200")</f>
        <v>veins shoes of size 39 costing rs 1200</v>
      </c>
      <c r="C108" s="17" t="str">
        <f>IFERROR(__xludf.DUMMYFUNCTION("""COMPUTED_VALUE"""),"Sworup Chhetry")</f>
        <v>Sworup Chhetry</v>
      </c>
      <c r="D108" s="17" t="str">
        <f>IFERROR(__xludf.DUMMYFUNCTION("""COMPUTED_VALUE"""),"satungal, gagan pharmacy")</f>
        <v>satungal, gagan pharmacy</v>
      </c>
      <c r="E108" s="17">
        <f>IFERROR(__xludf.DUMMYFUNCTION("""COMPUTED_VALUE"""),9.749497208E9)</f>
        <v>9749497208</v>
      </c>
      <c r="F108" s="19">
        <f>IFERROR(__xludf.DUMMYFUNCTION("""COMPUTED_VALUE"""),600.0)</f>
        <v>600</v>
      </c>
      <c r="G108" s="19">
        <f>IFERROR(__xludf.DUMMYFUNCTION("""COMPUTED_VALUE"""),1200.0)</f>
        <v>1200</v>
      </c>
      <c r="H108" s="19">
        <f>IFERROR(__xludf.DUMMYFUNCTION("""COMPUTED_VALUE"""),3.0)</f>
        <v>3</v>
      </c>
      <c r="I108" s="17" t="str">
        <f>IFERROR(__xludf.DUMMYFUNCTION("""COMPUTED_VALUE"""),"Delivered")</f>
        <v>Delivered</v>
      </c>
      <c r="J108" s="18">
        <f>IFERROR(__xludf.DUMMYFUNCTION("""COMPUTED_VALUE"""),45778.52304398148)</f>
        <v>45778.52304</v>
      </c>
    </row>
    <row r="109">
      <c r="A109" s="18">
        <f>IFERROR(__xludf.DUMMYFUNCTION("""COMPUTED_VALUE"""),45777.762094907404)</f>
        <v>45777.76209</v>
      </c>
      <c r="B109" s="17" t="str">
        <f>IFERROR(__xludf.DUMMYFUNCTION("""COMPUTED_VALUE"""),"lv green shoes of size 41 costing rs 1200")</f>
        <v>lv green shoes of size 41 costing rs 1200</v>
      </c>
      <c r="C109" s="17" t="str">
        <f>IFERROR(__xludf.DUMMYFUNCTION("""COMPUTED_VALUE"""),"Rupak Khanal")</f>
        <v>Rupak Khanal</v>
      </c>
      <c r="D109" s="17" t="str">
        <f>IFERROR(__xludf.DUMMYFUNCTION("""COMPUTED_VALUE"""),"birtamode, jhapa")</f>
        <v>birtamode, jhapa</v>
      </c>
      <c r="E109" s="17">
        <f>IFERROR(__xludf.DUMMYFUNCTION("""COMPUTED_VALUE"""),9.825916654E9)</f>
        <v>9825916654</v>
      </c>
      <c r="F109" s="19">
        <f>IFERROR(__xludf.DUMMYFUNCTION("""COMPUTED_VALUE"""),600.0)</f>
        <v>600</v>
      </c>
      <c r="G109" s="19">
        <f>IFERROR(__xludf.DUMMYFUNCTION("""COMPUTED_VALUE"""),1200.0)</f>
        <v>1200</v>
      </c>
      <c r="H109" s="19">
        <f>IFERROR(__xludf.DUMMYFUNCTION("""COMPUTED_VALUE"""),3.0)</f>
        <v>3</v>
      </c>
      <c r="I109" s="17" t="str">
        <f>IFERROR(__xludf.DUMMYFUNCTION("""COMPUTED_VALUE"""),"Delivered")</f>
        <v>Delivered</v>
      </c>
      <c r="J109" s="18">
        <f>IFERROR(__xludf.DUMMYFUNCTION("""COMPUTED_VALUE"""),45779.482083333336)</f>
        <v>45779.48208</v>
      </c>
    </row>
    <row r="110">
      <c r="A110" s="18">
        <f>IFERROR(__xludf.DUMMYFUNCTION("""COMPUTED_VALUE"""),45777.76033564815)</f>
        <v>45777.76034</v>
      </c>
      <c r="B110" s="17" t="str">
        <f>IFERROR(__xludf.DUMMYFUNCTION("""COMPUTED_VALUE"""),"blue clothes jordan of size 39 costing rs 1200")</f>
        <v>blue clothes jordan of size 39 costing rs 1200</v>
      </c>
      <c r="C110" s="17" t="str">
        <f>IFERROR(__xludf.DUMMYFUNCTION("""COMPUTED_VALUE"""),"Prabin Lamichhane")</f>
        <v>Prabin Lamichhane</v>
      </c>
      <c r="D110" s="17" t="str">
        <f>IFERROR(__xludf.DUMMYFUNCTION("""COMPUTED_VALUE"""),"putali bazar - 3, syangja")</f>
        <v>putali bazar - 3, syangja</v>
      </c>
      <c r="E110" s="17">
        <f>IFERROR(__xludf.DUMMYFUNCTION("""COMPUTED_VALUE"""),9.820102563E9)</f>
        <v>9820102563</v>
      </c>
      <c r="F110" s="19">
        <f>IFERROR(__xludf.DUMMYFUNCTION("""COMPUTED_VALUE"""),200.0)</f>
        <v>200</v>
      </c>
      <c r="G110" s="19">
        <f>IFERROR(__xludf.DUMMYFUNCTION("""COMPUTED_VALUE"""),1200.0)</f>
        <v>1200</v>
      </c>
      <c r="H110" s="19">
        <f>IFERROR(__xludf.DUMMYFUNCTION("""COMPUTED_VALUE"""),3.0)</f>
        <v>3</v>
      </c>
      <c r="I110" s="17" t="str">
        <f>IFERROR(__xludf.DUMMYFUNCTION("""COMPUTED_VALUE"""),"Delivered")</f>
        <v>Delivered</v>
      </c>
      <c r="J110" s="18">
        <f>IFERROR(__xludf.DUMMYFUNCTION("""COMPUTED_VALUE"""),45780.37699074074)</f>
        <v>45780.37699</v>
      </c>
    </row>
    <row r="111">
      <c r="A111" s="18">
        <f>IFERROR(__xludf.DUMMYFUNCTION("""COMPUTED_VALUE"""),45777.20144675926)</f>
        <v>45777.20145</v>
      </c>
      <c r="B111" s="17" t="str">
        <f>IFERROR(__xludf.DUMMYFUNCTION("""COMPUTED_VALUE"""),"Lv shoes of green costing 1200")</f>
        <v>Lv shoes of green costing 1200</v>
      </c>
      <c r="C111" s="17" t="str">
        <f>IFERROR(__xludf.DUMMYFUNCTION("""COMPUTED_VALUE""")," Dipesh Bhattarai ")</f>
        <v> Dipesh Bhattarai </v>
      </c>
      <c r="D111" s="17" t="str">
        <f>IFERROR(__xludf.DUMMYFUNCTION("""COMPUTED_VALUE""")," Ilam municipality-1 Nepaltar,Ilam")</f>
        <v> Ilam municipality-1 Nepaltar,Ilam</v>
      </c>
      <c r="E111" s="17">
        <f>IFERROR(__xludf.DUMMYFUNCTION("""COMPUTED_VALUE"""),9.825917835E9)</f>
        <v>9825917835</v>
      </c>
      <c r="F111" s="19">
        <f>IFERROR(__xludf.DUMMYFUNCTION("""COMPUTED_VALUE"""),600.0)</f>
        <v>600</v>
      </c>
      <c r="G111" s="19">
        <f>IFERROR(__xludf.DUMMYFUNCTION("""COMPUTED_VALUE"""),1200.0)</f>
        <v>1200</v>
      </c>
      <c r="H111" s="19">
        <f>IFERROR(__xludf.DUMMYFUNCTION("""COMPUTED_VALUE"""),3.0)</f>
        <v>3</v>
      </c>
      <c r="I111" s="17" t="str">
        <f>IFERROR(__xludf.DUMMYFUNCTION("""COMPUTED_VALUE"""),"Delivered")</f>
        <v>Delivered</v>
      </c>
      <c r="J111" s="18">
        <f>IFERROR(__xludf.DUMMYFUNCTION("""COMPUTED_VALUE"""),45780.44793981481)</f>
        <v>45780.44794</v>
      </c>
    </row>
    <row r="112">
      <c r="A112" s="18">
        <f>IFERROR(__xludf.DUMMYFUNCTION("""COMPUTED_VALUE"""),45777.19584490741)</f>
        <v>45777.19584</v>
      </c>
      <c r="B112" s="17" t="str">
        <f>IFERROR(__xludf.DUMMYFUNCTION("""COMPUTED_VALUE"""),"Veins shoes of size 42 costing rs 1200")</f>
        <v>Veins shoes of size 42 costing rs 1200</v>
      </c>
      <c r="C112" s="17" t="str">
        <f>IFERROR(__xludf.DUMMYFUNCTION("""COMPUTED_VALUE"""),"Javed osta")</f>
        <v>Javed osta</v>
      </c>
      <c r="D112" s="17" t="str">
        <f>IFERROR(__xludf.DUMMYFUNCTION("""COMPUTED_VALUE"""),"Narsing chowk, chengu Hotel, thamel")</f>
        <v>Narsing chowk, chengu Hotel, thamel</v>
      </c>
      <c r="E112" s="17">
        <f>IFERROR(__xludf.DUMMYFUNCTION("""COMPUTED_VALUE"""),9.811195106E9)</f>
        <v>9811195106</v>
      </c>
      <c r="F112" s="19">
        <f>IFERROR(__xludf.DUMMYFUNCTION("""COMPUTED_VALUE"""),600.0)</f>
        <v>600</v>
      </c>
      <c r="G112" s="19">
        <f>IFERROR(__xludf.DUMMYFUNCTION("""COMPUTED_VALUE"""),1200.0)</f>
        <v>1200</v>
      </c>
      <c r="H112" s="19">
        <f>IFERROR(__xludf.DUMMYFUNCTION("""COMPUTED_VALUE"""),3.0)</f>
        <v>3</v>
      </c>
      <c r="I112" s="17" t="str">
        <f>IFERROR(__xludf.DUMMYFUNCTION("""COMPUTED_VALUE"""),"Delivered")</f>
        <v>Delivered</v>
      </c>
      <c r="J112" s="18">
        <f>IFERROR(__xludf.DUMMYFUNCTION("""COMPUTED_VALUE"""),45777.42673611111)</f>
        <v>45777.42674</v>
      </c>
    </row>
    <row r="113">
      <c r="A113" s="18">
        <f>IFERROR(__xludf.DUMMYFUNCTION("""COMPUTED_VALUE"""),45776.792719907404)</f>
        <v>45776.79272</v>
      </c>
      <c r="B113" s="17" t="str">
        <f>IFERROR(__xludf.DUMMYFUNCTION("""COMPUTED_VALUE"""),"two shoes jordan vietnam and lv green of size 43 costing 1200 each ")</f>
        <v>two shoes jordan vietnam and lv green of size 43 costing 1200 each </v>
      </c>
      <c r="C113" s="17" t="str">
        <f>IFERROR(__xludf.DUMMYFUNCTION("""COMPUTED_VALUE"""),"Sachin Sunar")</f>
        <v>Sachin Sunar</v>
      </c>
      <c r="D113" s="17" t="str">
        <f>IFERROR(__xludf.DUMMYFUNCTION("""COMPUTED_VALUE"""),"nawalpur, rajahar")</f>
        <v>nawalpur, rajahar</v>
      </c>
      <c r="E113" s="17">
        <f>IFERROR(__xludf.DUMMYFUNCTION("""COMPUTED_VALUE"""),9.767006129E9)</f>
        <v>9767006129</v>
      </c>
      <c r="F113" s="19">
        <f>IFERROR(__xludf.DUMMYFUNCTION("""COMPUTED_VALUE"""),700.0)</f>
        <v>700</v>
      </c>
      <c r="G113" s="19">
        <f>IFERROR(__xludf.DUMMYFUNCTION("""COMPUTED_VALUE"""),2400.0)</f>
        <v>2400</v>
      </c>
      <c r="H113" s="19">
        <f>IFERROR(__xludf.DUMMYFUNCTION("""COMPUTED_VALUE"""),6.0)</f>
        <v>6</v>
      </c>
      <c r="I113" s="17" t="str">
        <f>IFERROR(__xludf.DUMMYFUNCTION("""COMPUTED_VALUE"""),"Delivered")</f>
        <v>Delivered</v>
      </c>
      <c r="J113" s="18">
        <f>IFERROR(__xludf.DUMMYFUNCTION("""COMPUTED_VALUE"""),45779.3908912037)</f>
        <v>45779.39089</v>
      </c>
    </row>
    <row r="114">
      <c r="A114" s="18">
        <f>IFERROR(__xludf.DUMMYFUNCTION("""COMPUTED_VALUE"""),45776.7228125)</f>
        <v>45776.72281</v>
      </c>
      <c r="B114" s="17" t="str">
        <f>IFERROR(__xludf.DUMMYFUNCTION("""COMPUTED_VALUE"""),"dior shoes of size 42 costing rs 1200")</f>
        <v>dior shoes of size 42 costing rs 1200</v>
      </c>
      <c r="C114" s="17" t="str">
        <f>IFERROR(__xludf.DUMMYFUNCTION("""COMPUTED_VALUE"""),"Tahir khan")</f>
        <v>Tahir khan</v>
      </c>
      <c r="D114" s="17" t="str">
        <f>IFERROR(__xludf.DUMMYFUNCTION("""COMPUTED_VALUE"""),"Lumbini, sanskrit nagarpalika")</f>
        <v>Lumbini, sanskrit nagarpalika</v>
      </c>
      <c r="E114" s="17">
        <f>IFERROR(__xludf.DUMMYFUNCTION("""COMPUTED_VALUE"""),9.807479966E9)</f>
        <v>9807479966</v>
      </c>
      <c r="F114" s="19">
        <f>IFERROR(__xludf.DUMMYFUNCTION("""COMPUTED_VALUE"""),200.0)</f>
        <v>200</v>
      </c>
      <c r="G114" s="19">
        <f>IFERROR(__xludf.DUMMYFUNCTION("""COMPUTED_VALUE"""),1200.0)</f>
        <v>1200</v>
      </c>
      <c r="H114" s="19">
        <f>IFERROR(__xludf.DUMMYFUNCTION("""COMPUTED_VALUE"""),3.0)</f>
        <v>3</v>
      </c>
      <c r="I114" s="17" t="str">
        <f>IFERROR(__xludf.DUMMYFUNCTION("""COMPUTED_VALUE"""),"Delivered")</f>
        <v>Delivered</v>
      </c>
      <c r="J114" s="18">
        <f>IFERROR(__xludf.DUMMYFUNCTION("""COMPUTED_VALUE"""),45781.35251157408)</f>
        <v>45781.35251</v>
      </c>
    </row>
    <row r="115">
      <c r="A115" s="18">
        <f>IFERROR(__xludf.DUMMYFUNCTION("""COMPUTED_VALUE"""),45776.71875)</f>
        <v>45776.71875</v>
      </c>
      <c r="B115" s="17" t="str">
        <f>IFERROR(__xludf.DUMMYFUNCTION("""COMPUTED_VALUE"""),"Dr. Martin shoes of size 43 costing rs 1500")</f>
        <v>Dr. Martin shoes of size 43 costing rs 1500</v>
      </c>
      <c r="C115" s="17" t="str">
        <f>IFERROR(__xludf.DUMMYFUNCTION("""COMPUTED_VALUE"""),"Saroj basnet")</f>
        <v>Saroj basnet</v>
      </c>
      <c r="D115" s="17" t="str">
        <f>IFERROR(__xludf.DUMMYFUNCTION("""COMPUTED_VALUE"""),"Vdc office, duwakot, changunarayan, bhaktapur")</f>
        <v>Vdc office, duwakot, changunarayan, bhaktapur</v>
      </c>
      <c r="E115" s="17">
        <f>IFERROR(__xludf.DUMMYFUNCTION("""COMPUTED_VALUE"""),9.804842819E9)</f>
        <v>9804842819</v>
      </c>
      <c r="F115" s="19">
        <f>IFERROR(__xludf.DUMMYFUNCTION("""COMPUTED_VALUE"""),500.0)</f>
        <v>500</v>
      </c>
      <c r="G115" s="19">
        <f>IFERROR(__xludf.DUMMYFUNCTION("""COMPUTED_VALUE"""),1500.0)</f>
        <v>1500</v>
      </c>
      <c r="H115" s="19">
        <f>IFERROR(__xludf.DUMMYFUNCTION("""COMPUTED_VALUE"""),3.75)</f>
        <v>3.75</v>
      </c>
      <c r="I115" s="17" t="str">
        <f>IFERROR(__xludf.DUMMYFUNCTION("""COMPUTED_VALUE"""),"Delivered")</f>
        <v>Delivered</v>
      </c>
      <c r="J115" s="18">
        <f>IFERROR(__xludf.DUMMYFUNCTION("""COMPUTED_VALUE"""),45777.47929398148)</f>
        <v>45777.47929</v>
      </c>
    </row>
    <row r="116">
      <c r="A116" s="18">
        <f>IFERROR(__xludf.DUMMYFUNCTION("""COMPUTED_VALUE"""),45776.71548611111)</f>
        <v>45776.71549</v>
      </c>
      <c r="B116" s="17" t="str">
        <f>IFERROR(__xludf.DUMMYFUNCTION("""COMPUTED_VALUE"""),"Af 1 shoes costing rs 1200 of size 42")</f>
        <v>Af 1 shoes costing rs 1200 of size 42</v>
      </c>
      <c r="C116" s="17" t="str">
        <f>IFERROR(__xludf.DUMMYFUNCTION("""COMPUTED_VALUE"""),"Kushal chhetry")</f>
        <v>Kushal chhetry</v>
      </c>
      <c r="D116" s="17" t="str">
        <f>IFERROR(__xludf.DUMMYFUNCTION("""COMPUTED_VALUE"""),"Kushma, parbat")</f>
        <v>Kushma, parbat</v>
      </c>
      <c r="E116" s="17">
        <f>IFERROR(__xludf.DUMMYFUNCTION("""COMPUTED_VALUE"""),9.862720339E9)</f>
        <v>9862720339</v>
      </c>
      <c r="F116" s="19">
        <f>IFERROR(__xludf.DUMMYFUNCTION("""COMPUTED_VALUE"""),200.0)</f>
        <v>200</v>
      </c>
      <c r="G116" s="19">
        <f>IFERROR(__xludf.DUMMYFUNCTION("""COMPUTED_VALUE"""),1200.0)</f>
        <v>1200</v>
      </c>
      <c r="H116" s="19">
        <f>IFERROR(__xludf.DUMMYFUNCTION("""COMPUTED_VALUE"""),3.0)</f>
        <v>3</v>
      </c>
      <c r="I116" s="17" t="str">
        <f>IFERROR(__xludf.DUMMYFUNCTION("""COMPUTED_VALUE"""),"Delivered")</f>
        <v>Delivered</v>
      </c>
      <c r="J116" s="18">
        <f>IFERROR(__xludf.DUMMYFUNCTION("""COMPUTED_VALUE"""),45781.37578703703)</f>
        <v>45781.37579</v>
      </c>
    </row>
    <row r="117">
      <c r="A117" s="18">
        <f>IFERROR(__xludf.DUMMYFUNCTION("""COMPUTED_VALUE"""),45776.71030092593)</f>
        <v>45776.7103</v>
      </c>
      <c r="B117" s="17" t="str">
        <f>IFERROR(__xludf.DUMMYFUNCTION("""COMPUTED_VALUE"""),"Green and lv shoes of size 42 costing rs 1200 and rs 1200")</f>
        <v>Green and lv shoes of size 42 costing rs 1200 and rs 1200</v>
      </c>
      <c r="C117" s="17" t="str">
        <f>IFERROR(__xludf.DUMMYFUNCTION("""COMPUTED_VALUE"""),"Samrat rai")</f>
        <v>Samrat rai</v>
      </c>
      <c r="D117" s="17" t="str">
        <f>IFERROR(__xludf.DUMMYFUNCTION("""COMPUTED_VALUE"""),"Lalitpur, imadol, sanogau, near bhatbhateni")</f>
        <v>Lalitpur, imadol, sanogau, near bhatbhateni</v>
      </c>
      <c r="E117" s="17">
        <f>IFERROR(__xludf.DUMMYFUNCTION("""COMPUTED_VALUE"""),9.800943313E9)</f>
        <v>9800943313</v>
      </c>
      <c r="F117" s="19">
        <f>IFERROR(__xludf.DUMMYFUNCTION("""COMPUTED_VALUE"""),800.0)</f>
        <v>800</v>
      </c>
      <c r="G117" s="19">
        <f>IFERROR(__xludf.DUMMYFUNCTION("""COMPUTED_VALUE"""),2400.0)</f>
        <v>2400</v>
      </c>
      <c r="H117" s="19">
        <f>IFERROR(__xludf.DUMMYFUNCTION("""COMPUTED_VALUE"""),6.0)</f>
        <v>6</v>
      </c>
      <c r="I117" s="17" t="str">
        <f>IFERROR(__xludf.DUMMYFUNCTION("""COMPUTED_VALUE"""),"Delivered")</f>
        <v>Delivered</v>
      </c>
      <c r="J117" s="18">
        <f>IFERROR(__xludf.DUMMYFUNCTION("""COMPUTED_VALUE"""),45778.34921296296)</f>
        <v>45778.34921</v>
      </c>
    </row>
    <row r="118">
      <c r="A118" s="18">
        <f>IFERROR(__xludf.DUMMYFUNCTION("""COMPUTED_VALUE"""),45767.60923611111)</f>
        <v>45767.60924</v>
      </c>
      <c r="B118" s="17" t="str">
        <f>IFERROR(__xludf.DUMMYFUNCTION("""COMPUTED_VALUE"""),"Converse all star shoes which cost 1600")</f>
        <v>Converse all star shoes which cost 1600</v>
      </c>
      <c r="C118" s="17" t="str">
        <f>IFERROR(__xludf.DUMMYFUNCTION("""COMPUTED_VALUE"""),"Sanjip Gurung")</f>
        <v>Sanjip Gurung</v>
      </c>
      <c r="D118" s="17" t="str">
        <f>IFERROR(__xludf.DUMMYFUNCTION("""COMPUTED_VALUE"""),"Fikkal, ilam")</f>
        <v>Fikkal, ilam</v>
      </c>
      <c r="E118" s="17">
        <f>IFERROR(__xludf.DUMMYFUNCTION("""COMPUTED_VALUE"""),9.860286662E9)</f>
        <v>9860286662</v>
      </c>
      <c r="F118" s="19">
        <f>IFERROR(__xludf.DUMMYFUNCTION("""COMPUTED_VALUE"""),300.0)</f>
        <v>300</v>
      </c>
      <c r="G118" s="19">
        <f>IFERROR(__xludf.DUMMYFUNCTION("""COMPUTED_VALUE"""),1600.0)</f>
        <v>1600</v>
      </c>
      <c r="H118" s="19">
        <f>IFERROR(__xludf.DUMMYFUNCTION("""COMPUTED_VALUE"""),4.0)</f>
        <v>4</v>
      </c>
      <c r="I118" s="17" t="str">
        <f>IFERROR(__xludf.DUMMYFUNCTION("""COMPUTED_VALUE"""),"Delivered")</f>
        <v>Delivered</v>
      </c>
      <c r="J118" s="18">
        <f>IFERROR(__xludf.DUMMYFUNCTION("""COMPUTED_VALUE"""),45771.202835648146)</f>
        <v>45771.20284</v>
      </c>
    </row>
    <row r="119">
      <c r="A119" s="18">
        <f>IFERROR(__xludf.DUMMYFUNCTION("""COMPUTED_VALUE"""),45767.1827662037)</f>
        <v>45767.18277</v>
      </c>
      <c r="B119" s="17" t="str">
        <f>IFERROR(__xludf.DUMMYFUNCTION("""COMPUTED_VALUE"""),"Two shoes one for ladies and other for gents costing 1500 and 1500")</f>
        <v>Two shoes one for ladies and other for gents costing 1500 and 1500</v>
      </c>
      <c r="C119" s="17" t="str">
        <f>IFERROR(__xludf.DUMMYFUNCTION("""COMPUTED_VALUE"""),"Rabindra khadka")</f>
        <v>Rabindra khadka</v>
      </c>
      <c r="D119" s="17" t="str">
        <f>IFERROR(__xludf.DUMMYFUNCTION("""COMPUTED_VALUE"""),"Duwakot, mahankal Chowk, bhaktapur")</f>
        <v>Duwakot, mahankal Chowk, bhaktapur</v>
      </c>
      <c r="E119" s="17">
        <f>IFERROR(__xludf.DUMMYFUNCTION("""COMPUTED_VALUE"""),9.840355958E9)</f>
        <v>9840355958</v>
      </c>
      <c r="F119" s="19">
        <f>IFERROR(__xludf.DUMMYFUNCTION("""COMPUTED_VALUE"""),800.0)</f>
        <v>800</v>
      </c>
      <c r="G119" s="19">
        <f>IFERROR(__xludf.DUMMYFUNCTION("""COMPUTED_VALUE"""),3000.0)</f>
        <v>3000</v>
      </c>
      <c r="H119" s="19">
        <f>IFERROR(__xludf.DUMMYFUNCTION("""COMPUTED_VALUE"""),7.5)</f>
        <v>7.5</v>
      </c>
      <c r="I119" s="17" t="str">
        <f>IFERROR(__xludf.DUMMYFUNCTION("""COMPUTED_VALUE"""),"Delivered")</f>
        <v>Delivered</v>
      </c>
      <c r="J119" s="18">
        <f>IFERROR(__xludf.DUMMYFUNCTION("""COMPUTED_VALUE"""),45767.48459490741)</f>
        <v>45767.48459</v>
      </c>
    </row>
    <row r="120">
      <c r="A120" s="18">
        <f>IFERROR(__xludf.DUMMYFUNCTION("""COMPUTED_VALUE"""),45766.289513888885)</f>
        <v>45766.28951</v>
      </c>
      <c r="B120" s="17" t="str">
        <f>IFERROR(__xludf.DUMMYFUNCTION("""COMPUTED_VALUE"""),"Tbl shoes costing 2200 already gave 100 so final price 2100")</f>
        <v>Tbl shoes costing 2200 already gave 100 so final price 2100</v>
      </c>
      <c r="C120" s="17" t="str">
        <f>IFERROR(__xludf.DUMMYFUNCTION("""COMPUTED_VALUE"""),"Binod Pandey")</f>
        <v>Binod Pandey</v>
      </c>
      <c r="D120" s="17" t="str">
        <f>IFERROR(__xludf.DUMMYFUNCTION("""COMPUTED_VALUE"""),"Army bahrek, ghorahi")</f>
        <v>Army bahrek, ghorahi</v>
      </c>
      <c r="E120" s="17">
        <f>IFERROR(__xludf.DUMMYFUNCTION("""COMPUTED_VALUE"""),9.742373745E9)</f>
        <v>9742373745</v>
      </c>
      <c r="F120" s="19">
        <f>IFERROR(__xludf.DUMMYFUNCTION("""COMPUTED_VALUE"""),400.0)</f>
        <v>400</v>
      </c>
      <c r="G120" s="19">
        <f>IFERROR(__xludf.DUMMYFUNCTION("""COMPUTED_VALUE"""),2100.0)</f>
        <v>2100</v>
      </c>
      <c r="H120" s="19">
        <f>IFERROR(__xludf.DUMMYFUNCTION("""COMPUTED_VALUE"""),5.25)</f>
        <v>5.25</v>
      </c>
      <c r="I120" s="17" t="str">
        <f>IFERROR(__xludf.DUMMYFUNCTION("""COMPUTED_VALUE"""),"Delivered")</f>
        <v>Delivered</v>
      </c>
      <c r="J120" s="18">
        <f>IFERROR(__xludf.DUMMYFUNCTION("""COMPUTED_VALUE"""),45769.411273148144)</f>
        <v>45769.41127</v>
      </c>
    </row>
    <row r="121">
      <c r="A121" s="18">
        <f>IFERROR(__xludf.DUMMYFUNCTION("""COMPUTED_VALUE"""),45766.135671296295)</f>
        <v>45766.13567</v>
      </c>
      <c r="B121" s="17" t="str">
        <f>IFERROR(__xludf.DUMMYFUNCTION("""COMPUTED_VALUE"""),"Nike printed shoes costing rs 1500")</f>
        <v>Nike printed shoes costing rs 1500</v>
      </c>
      <c r="C121" s="17" t="str">
        <f>IFERROR(__xludf.DUMMYFUNCTION("""COMPUTED_VALUE"""),"Bhuwan Majhi")</f>
        <v>Bhuwan Majhi</v>
      </c>
      <c r="D121" s="17" t="str">
        <f>IFERROR(__xludf.DUMMYFUNCTION("""COMPUTED_VALUE"""),"Surunga dhekhi 20 km tala jhapa bazzar")</f>
        <v>Surunga dhekhi 20 km tala jhapa bazzar</v>
      </c>
      <c r="E121" s="17">
        <f>IFERROR(__xludf.DUMMYFUNCTION("""COMPUTED_VALUE"""),9.807976364E9)</f>
        <v>9807976364</v>
      </c>
      <c r="F121" s="19">
        <f>IFERROR(__xludf.DUMMYFUNCTION("""COMPUTED_VALUE"""),500.0)</f>
        <v>500</v>
      </c>
      <c r="G121" s="19">
        <f>IFERROR(__xludf.DUMMYFUNCTION("""COMPUTED_VALUE"""),1500.0)</f>
        <v>1500</v>
      </c>
      <c r="H121" s="19">
        <f>IFERROR(__xludf.DUMMYFUNCTION("""COMPUTED_VALUE"""),3.75)</f>
        <v>3.75</v>
      </c>
      <c r="I121" s="17" t="str">
        <f>IFERROR(__xludf.DUMMYFUNCTION("""COMPUTED_VALUE"""),"Delivered")</f>
        <v>Delivered</v>
      </c>
      <c r="J121" s="18">
        <f>IFERROR(__xludf.DUMMYFUNCTION("""COMPUTED_VALUE"""),45770.353009259255)</f>
        <v>45770.35301</v>
      </c>
    </row>
    <row r="122">
      <c r="A122" s="18">
        <f>IFERROR(__xludf.DUMMYFUNCTION("""COMPUTED_VALUE"""),45762.70302083333)</f>
        <v>45762.70302</v>
      </c>
      <c r="B122" s="17" t="str">
        <f>IFERROR(__xludf.DUMMYFUNCTION("""COMPUTED_VALUE"""),"Classy shoes costing rs 1500 already gave rs 150 so final price rs 1350")</f>
        <v>Classy shoes costing rs 1500 already gave rs 150 so final price rs 1350</v>
      </c>
      <c r="C122" s="17" t="str">
        <f>IFERROR(__xludf.DUMMYFUNCTION("""COMPUTED_VALUE"""),"Sushil Luitel")</f>
        <v>Sushil Luitel</v>
      </c>
      <c r="D122" s="17" t="str">
        <f>IFERROR(__xludf.DUMMYFUNCTION("""COMPUTED_VALUE"""),"Dharan, Bhanu Chowk, clock tower")</f>
        <v>Dharan, Bhanu Chowk, clock tower</v>
      </c>
      <c r="E122" s="17">
        <f>IFERROR(__xludf.DUMMYFUNCTION("""COMPUTED_VALUE"""),9.817139815E9)</f>
        <v>9817139815</v>
      </c>
      <c r="F122" s="19">
        <f>IFERROR(__xludf.DUMMYFUNCTION("""COMPUTED_VALUE"""),500.0)</f>
        <v>500</v>
      </c>
      <c r="G122" s="19">
        <f>IFERROR(__xludf.DUMMYFUNCTION("""COMPUTED_VALUE"""),1350.0)</f>
        <v>1350</v>
      </c>
      <c r="H122" s="19">
        <f>IFERROR(__xludf.DUMMYFUNCTION("""COMPUTED_VALUE"""),3.38)</f>
        <v>3.38</v>
      </c>
      <c r="I122" s="17" t="str">
        <f>IFERROR(__xludf.DUMMYFUNCTION("""COMPUTED_VALUE"""),"Delivered")</f>
        <v>Delivered</v>
      </c>
      <c r="J122" s="18">
        <f>IFERROR(__xludf.DUMMYFUNCTION("""COMPUTED_VALUE"""),45765.40896990741)</f>
        <v>45765.40897</v>
      </c>
    </row>
    <row r="123">
      <c r="A123" s="18">
        <f>IFERROR(__xludf.DUMMYFUNCTION("""COMPUTED_VALUE"""),45762.09135416667)</f>
        <v>45762.09135</v>
      </c>
      <c r="B123" s="17" t="str">
        <f>IFERROR(__xludf.DUMMYFUNCTION("""COMPUTED_VALUE"""),"M shoes and price 1500 but gave advance 200  so collecting amount 1300")</f>
        <v>M shoes and price 1500 but gave advance 200  so collecting amount 1300</v>
      </c>
      <c r="C123" s="17" t="str">
        <f>IFERROR(__xludf.DUMMYFUNCTION("""COMPUTED_VALUE"""),"Amar Dahit")</f>
        <v>Amar Dahit</v>
      </c>
      <c r="D123" s="17" t="str">
        <f>IFERROR(__xludf.DUMMYFUNCTION("""COMPUTED_VALUE"""),"Karma international skill training institute, gyaneswor, kalopool, kathmandu")</f>
        <v>Karma international skill training institute, gyaneswor, kalopool, kathmandu</v>
      </c>
      <c r="E123" s="17">
        <f>IFERROR(__xludf.DUMMYFUNCTION("""COMPUTED_VALUE"""),9.808333543E9)</f>
        <v>9808333543</v>
      </c>
      <c r="F123" s="19">
        <f>IFERROR(__xludf.DUMMYFUNCTION("""COMPUTED_VALUE"""),400.0)</f>
        <v>400</v>
      </c>
      <c r="G123" s="19">
        <f>IFERROR(__xludf.DUMMYFUNCTION("""COMPUTED_VALUE"""),1300.0)</f>
        <v>1300</v>
      </c>
      <c r="H123" s="19">
        <f>IFERROR(__xludf.DUMMYFUNCTION("""COMPUTED_VALUE"""),3.25)</f>
        <v>3.25</v>
      </c>
      <c r="I123" s="17" t="str">
        <f>IFERROR(__xludf.DUMMYFUNCTION("""COMPUTED_VALUE"""),"Delivered")</f>
        <v>Delivered</v>
      </c>
      <c r="J123" s="18">
        <f>IFERROR(__xludf.DUMMYFUNCTION("""COMPUTED_VALUE"""),45762.478483796294)</f>
        <v>45762.47848</v>
      </c>
    </row>
    <row r="124">
      <c r="A124" s="18">
        <f>IFERROR(__xludf.DUMMYFUNCTION("""COMPUTED_VALUE"""),45761.512812500005)</f>
        <v>45761.51281</v>
      </c>
      <c r="B124" s="17" t="str">
        <f>IFERROR(__xludf.DUMMYFUNCTION("""COMPUTED_VALUE"""),"Shoes cost")</f>
        <v>Shoes cost</v>
      </c>
      <c r="C124" s="17" t="str">
        <f>IFERROR(__xludf.DUMMYFUNCTION("""COMPUTED_VALUE"""),"Aashish basnet")</f>
        <v>Aashish basnet</v>
      </c>
      <c r="D124" s="17" t="str">
        <f>IFERROR(__xludf.DUMMYFUNCTION("""COMPUTED_VALUE"""),"Pm general store")</f>
        <v>Pm general store</v>
      </c>
      <c r="E124" s="17">
        <f>IFERROR(__xludf.DUMMYFUNCTION("""COMPUTED_VALUE"""),9.749878703E9)</f>
        <v>9749878703</v>
      </c>
      <c r="F124" s="19">
        <f>IFERROR(__xludf.DUMMYFUNCTION("""COMPUTED_VALUE"""),500.0)</f>
        <v>500</v>
      </c>
      <c r="G124" s="19">
        <f>IFERROR(__xludf.DUMMYFUNCTION("""COMPUTED_VALUE"""),1500.0)</f>
        <v>1500</v>
      </c>
      <c r="H124" s="19">
        <f>IFERROR(__xludf.DUMMYFUNCTION("""COMPUTED_VALUE"""),3.75)</f>
        <v>3.75</v>
      </c>
      <c r="I124" s="17" t="str">
        <f>IFERROR(__xludf.DUMMYFUNCTION("""COMPUTED_VALUE"""),"Delivered")</f>
        <v>Delivered</v>
      </c>
      <c r="J124" s="18">
        <f>IFERROR(__xludf.DUMMYFUNCTION("""COMPUTED_VALUE"""),45763.31940972222)</f>
        <v>45763.31941</v>
      </c>
    </row>
  </sheetData>
  <autoFilter ref="$A$1:$J$124">
    <filterColumn colId="8">
      <customFilters>
        <customFilter val="Delivered"/>
      </customFilters>
    </filterColumn>
  </autoFilter>
  <conditionalFormatting sqref="A1:J1">
    <cfRule type="expression" dxfId="6" priority="1" stopIfTrue="1">
      <formula>TRUE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5" max="5" width="56.0"/>
    <col customWidth="1" min="14" max="14" width="18.25"/>
    <col customWidth="1" min="15" max="17" width="13.5"/>
    <col customWidth="1" min="18" max="18" width="12.5"/>
  </cols>
  <sheetData>
    <row r="2">
      <c r="B2" s="17" t="str">
        <f>IFERROR(__xludf.DUMMYFUNCTION("QUERY(reference!A1:J188, ""where I = 'Delivered'"", 1)"),"Order created at")</f>
        <v>Order created at</v>
      </c>
      <c r="C2" s="17" t="str">
        <f>IFERROR(__xludf.DUMMYFUNCTION("""COMPUTED_VALUE"""),"Order description")</f>
        <v>Order description</v>
      </c>
      <c r="D2" s="17" t="str">
        <f>IFERROR(__xludf.DUMMYFUNCTION("""COMPUTED_VALUE"""),"Recipient name")</f>
        <v>Recipient name</v>
      </c>
      <c r="E2" s="17" t="str">
        <f>IFERROR(__xludf.DUMMYFUNCTION("""COMPUTED_VALUE"""),"Recipient address")</f>
        <v>Recipient address</v>
      </c>
      <c r="F2" s="17" t="str">
        <f>IFERROR(__xludf.DUMMYFUNCTION("""COMPUTED_VALUE"""),"Recipient phone")</f>
        <v>Recipient phone</v>
      </c>
      <c r="G2" s="17" t="str">
        <f>IFERROR(__xludf.DUMMYFUNCTION("""COMPUTED_VALUE"""),"proft")</f>
        <v>proft</v>
      </c>
      <c r="H2" s="17" t="str">
        <f>IFERROR(__xludf.DUMMYFUNCTION("""COMPUTED_VALUE"""),"Collected amount")</f>
        <v>Collected amount</v>
      </c>
      <c r="I2" s="17" t="str">
        <f>IFERROR(__xludf.DUMMYFUNCTION("""COMPUTED_VALUE"""),"Total fee")</f>
        <v>Total fee</v>
      </c>
      <c r="J2" s="17" t="str">
        <f>IFERROR(__xludf.DUMMYFUNCTION("""COMPUTED_VALUE"""),"Order status")</f>
        <v>Order status</v>
      </c>
      <c r="K2" s="17" t="str">
        <f>IFERROR(__xludf.DUMMYFUNCTION("""COMPUTED_VALUE"""),"Order status")</f>
        <v>Order status</v>
      </c>
      <c r="L2" s="20" t="s">
        <v>472</v>
      </c>
      <c r="M2" s="21" t="s">
        <v>473</v>
      </c>
    </row>
    <row r="3">
      <c r="B3" s="18">
        <f>IFERROR(__xludf.DUMMYFUNCTION("""COMPUTED_VALUE"""),45916.191412037035)</f>
        <v>45916.19141</v>
      </c>
      <c r="C3" s="17" t="str">
        <f>IFERROR(__xludf.DUMMYFUNCTION("""COMPUTED_VALUE"""),"Martin 2 sole half ")</f>
        <v>Martin 2 sole half </v>
      </c>
      <c r="D3" s="17" t="str">
        <f>IFERROR(__xludf.DUMMYFUNCTION("""COMPUTED_VALUE"""),"Amit Magar")</f>
        <v>Amit Magar</v>
      </c>
      <c r="E3" s="17" t="str">
        <f>IFERROR(__xludf.DUMMYFUNCTION("""COMPUTED_VALUE"""),"Dharan, bhanu chowk ")</f>
        <v>Dharan, bhanu chowk </v>
      </c>
      <c r="F3" s="17">
        <f>IFERROR(__xludf.DUMMYFUNCTION("""COMPUTED_VALUE"""),9.84940118E9)</f>
        <v>9849401180</v>
      </c>
      <c r="G3" s="22">
        <f>IFERROR(__xludf.DUMMYFUNCTION("""COMPUTED_VALUE"""),350.0)</f>
        <v>350</v>
      </c>
      <c r="H3" s="22">
        <f>IFERROR(__xludf.DUMMYFUNCTION("""COMPUTED_VALUE"""),1350.0)</f>
        <v>1350</v>
      </c>
      <c r="I3" s="22">
        <f>IFERROR(__xludf.DUMMYFUNCTION("""COMPUTED_VALUE"""),162.38)</f>
        <v>162.38</v>
      </c>
      <c r="J3" s="17" t="str">
        <f>IFERROR(__xludf.DUMMYFUNCTION("""COMPUTED_VALUE"""),"Delivered")</f>
        <v>Delivered</v>
      </c>
      <c r="K3" s="18">
        <f>IFERROR(__xludf.DUMMYFUNCTION("""COMPUTED_VALUE"""),45918.31509259259)</f>
        <v>45918.31509</v>
      </c>
      <c r="L3" s="17" t="str">
        <f>IFERROR(__xludf.DUMMYFUNCTION("IFS(
  OR(REGEXMATCH(LOWER(E3), ""sirutar|sundarijal|sitapaila|duwakot|tikathali|bhaktapur|lalitpur|kathmandu|ktm|changunarayan|bageswari|ghalate|tinkune|balkot|tikathali""), REGEXMATCH(LOWER(E3), ""inside valley"")), ""Inside Valley"",
  REGEXMATCH(LOWER"&amp;"(E3), ""dharan|pokhara|biratnagar|birgunj|narayanghat|itahari|hetauda|janakpur|madi""), ""Tier 1"",
  REGEXMATCH(LOWER(E3), ""nepalgunj|butwal|birtamod|dhangadhi|ghorahi|beni|kushma|waling|haldibari|dulegauda|baitadi|bhadrapur|syangja|parbat|myagdi|dang|n"&amp;"uwakot|jhapa""), ""Tier 2"",
  TRUE, ""Tier 3""
)"),"Tier 1")</f>
        <v>Tier 1</v>
      </c>
      <c r="M3" s="20" t="s">
        <v>474</v>
      </c>
    </row>
    <row r="4" ht="22.5" customHeight="1">
      <c r="B4" s="18">
        <f>IFERROR(__xludf.DUMMYFUNCTION("""COMPUTED_VALUE"""),45916.18975694444)</f>
        <v>45916.18976</v>
      </c>
      <c r="C4" s="17" t="str">
        <f>IFERROR(__xludf.DUMMYFUNCTION("""COMPUTED_VALUE"""),"N and red 37 and 40")</f>
        <v>N and red 37 and 40</v>
      </c>
      <c r="D4" s="17" t="str">
        <f>IFERROR(__xludf.DUMMYFUNCTION("""COMPUTED_VALUE"""),"Prabin karki")</f>
        <v>Prabin karki</v>
      </c>
      <c r="E4" s="17" t="str">
        <f>IFERROR(__xludf.DUMMYFUNCTION("""COMPUTED_VALUE"""),"Solukhumbu tingla")</f>
        <v>Solukhumbu tingla</v>
      </c>
      <c r="F4" s="17">
        <f>IFERROR(__xludf.DUMMYFUNCTION("""COMPUTED_VALUE"""),9.749215487E9)</f>
        <v>9749215487</v>
      </c>
      <c r="G4" s="22">
        <f>IFERROR(__xludf.DUMMYFUNCTION("""COMPUTED_VALUE"""),450.0)</f>
        <v>450</v>
      </c>
      <c r="H4" s="22">
        <f>IFERROR(__xludf.DUMMYFUNCTION("""COMPUTED_VALUE"""),2550.0)</f>
        <v>2550</v>
      </c>
      <c r="I4" s="22">
        <f>IFERROR(__xludf.DUMMYFUNCTION("""COMPUTED_VALUE"""),215.38)</f>
        <v>215.38</v>
      </c>
      <c r="J4" s="17" t="str">
        <f>IFERROR(__xludf.DUMMYFUNCTION("""COMPUTED_VALUE"""),"Delivered")</f>
        <v>Delivered</v>
      </c>
      <c r="K4" s="18">
        <f>IFERROR(__xludf.DUMMYFUNCTION("""COMPUTED_VALUE"""),45919.61679398148)</f>
        <v>45919.61679</v>
      </c>
      <c r="L4" s="17" t="str">
        <f>IFERROR(__xludf.DUMMYFUNCTION("IFS(
  OR(REGEXMATCH(LOWER(E4), ""sirutar|sundarijal|sitapaila|duwakot|tikathali|bhaktapur|lalitpur|kathmandu|ktm|changunarayan|bageswari|ghalate|tinkune|balkot|tikathali""), REGEXMATCH(LOWER(E4), ""inside valley"")), ""Inside Valley"",
  REGEXMATCH(LOWER"&amp;"(E4), ""dharan|pokhara|biratnagar|birgunj|narayanghat|itahari|hetauda|janakpur|madi""), ""Tier 1"",
  REGEXMATCH(LOWER(E4), ""nepalgunj|butwal|birtamod|dhangadhi|ghorahi|beni|kushma|waling|haldibari|dulegauda|baitadi|bhadrapur|syangja|parbat|myagdi|dang|n"&amp;"uwakot|jhapa""), ""Tier 2"",
  TRUE, ""Tier 3""
)"),"Tier 3")</f>
        <v>Tier 3</v>
      </c>
      <c r="M4" s="20" t="s">
        <v>474</v>
      </c>
      <c r="N4" s="23" t="s">
        <v>473</v>
      </c>
      <c r="O4" s="23" t="s">
        <v>475</v>
      </c>
      <c r="P4" s="23" t="s">
        <v>476</v>
      </c>
      <c r="Q4" s="23" t="s">
        <v>477</v>
      </c>
      <c r="R4" s="23" t="s">
        <v>478</v>
      </c>
    </row>
    <row r="5" ht="22.5" customHeight="1">
      <c r="B5" s="18">
        <f>IFERROR(__xludf.DUMMYFUNCTION("""COMPUTED_VALUE"""),45894.19651620371)</f>
        <v>45894.19652</v>
      </c>
      <c r="C5" s="17" t="str">
        <f>IFERROR(__xludf.DUMMYFUNCTION("""COMPUTED_VALUE"""),"Martin 1 sole 36")</f>
        <v>Martin 1 sole 36</v>
      </c>
      <c r="D5" s="17" t="str">
        <f>IFERROR(__xludf.DUMMYFUNCTION("""COMPUTED_VALUE"""),"Manoj")</f>
        <v>Manoj</v>
      </c>
      <c r="E5" s="17" t="str">
        <f>IFERROR(__xludf.DUMMYFUNCTION("""COMPUTED_VALUE"""),"Sundarijal, ktm dobato chowk")</f>
        <v>Sundarijal, ktm dobato chowk</v>
      </c>
      <c r="F5" s="17">
        <f>IFERROR(__xludf.DUMMYFUNCTION("""COMPUTED_VALUE"""),9.768966994E9)</f>
        <v>9768966994</v>
      </c>
      <c r="G5" s="22">
        <f>IFERROR(__xludf.DUMMYFUNCTION("""COMPUTED_VALUE"""),300.0)</f>
        <v>300</v>
      </c>
      <c r="H5" s="22">
        <f>IFERROR(__xludf.DUMMYFUNCTION("""COMPUTED_VALUE"""),1100.0)</f>
        <v>1100</v>
      </c>
      <c r="I5" s="22">
        <f>IFERROR(__xludf.DUMMYFUNCTION("""COMPUTED_VALUE"""),101.75)</f>
        <v>101.75</v>
      </c>
      <c r="J5" s="17" t="str">
        <f>IFERROR(__xludf.DUMMYFUNCTION("""COMPUTED_VALUE"""),"Delivered")</f>
        <v>Delivered</v>
      </c>
      <c r="K5" s="18">
        <f>IFERROR(__xludf.DUMMYFUNCTION("""COMPUTED_VALUE"""),45894.44189814814)</f>
        <v>45894.4419</v>
      </c>
      <c r="L5" s="17" t="str">
        <f>IFERROR(__xludf.DUMMYFUNCTION("IFS(
  OR(REGEXMATCH(LOWER(E5), ""sirutar|sundarijal|sitapaila|duwakot|tikathali|bhaktapur|lalitpur|kathmandu|ktm|changunarayan|bageswari|ghalate|tinkune|balkot|tikathali""), REGEXMATCH(LOWER(E5), ""inside valley"")), ""Inside Valley"",
  REGEXMATCH(LOWER"&amp;"(E5), ""dharan|pokhara|biratnagar|birgunj|narayanghat|itahari|hetauda|janakpur|madi""), ""Tier 1"",
  REGEXMATCH(LOWER(E5), ""nepalgunj|butwal|birtamod|dhangadhi|ghorahi|beni|kushma|waling|haldibari|dulegauda|baitadi|bhadrapur|syangja|parbat|myagdi|dang|n"&amp;"uwakot|jhapa""), ""Tier 2"",
  TRUE, ""Tier 3""
)"),"Inside Valley")</f>
        <v>Inside Valley</v>
      </c>
      <c r="M5" s="20" t="s">
        <v>479</v>
      </c>
      <c r="N5" s="24" t="s">
        <v>480</v>
      </c>
      <c r="O5" s="25">
        <v>24.0</v>
      </c>
      <c r="P5" s="25">
        <v>2.0</v>
      </c>
      <c r="Q5" s="25">
        <v>17.0</v>
      </c>
      <c r="R5" s="24" t="s">
        <v>481</v>
      </c>
    </row>
    <row r="6" ht="22.5" customHeight="1">
      <c r="B6" s="18">
        <f>IFERROR(__xludf.DUMMYFUNCTION("""COMPUTED_VALUE"""),45893.18133101852)</f>
        <v>45893.18133</v>
      </c>
      <c r="C6" s="17" t="str">
        <f>IFERROR(__xludf.DUMMYFUNCTION("""COMPUTED_VALUE"""),"Martin 3 sole 41")</f>
        <v>Martin 3 sole 41</v>
      </c>
      <c r="D6" s="17" t="str">
        <f>IFERROR(__xludf.DUMMYFUNCTION("""COMPUTED_VALUE"""),"Manish Bishwokarma")</f>
        <v>Manish Bishwokarma</v>
      </c>
      <c r="E6" s="17" t="str">
        <f>IFERROR(__xludf.DUMMYFUNCTION("""COMPUTED_VALUE"""),"Tanahun, dulegauda ")</f>
        <v>Tanahun, dulegauda </v>
      </c>
      <c r="F6" s="17">
        <f>IFERROR(__xludf.DUMMYFUNCTION("""COMPUTED_VALUE"""),9.815193182E9)</f>
        <v>9815193182</v>
      </c>
      <c r="G6" s="22">
        <f>IFERROR(__xludf.DUMMYFUNCTION("""COMPUTED_VALUE"""),650.0)</f>
        <v>650</v>
      </c>
      <c r="H6" s="22">
        <f>IFERROR(__xludf.DUMMYFUNCTION("""COMPUTED_VALUE"""),1650.0)</f>
        <v>1650</v>
      </c>
      <c r="I6" s="22">
        <f>IFERROR(__xludf.DUMMYFUNCTION("""COMPUTED_VALUE"""),183.13)</f>
        <v>183.13</v>
      </c>
      <c r="J6" s="17" t="str">
        <f>IFERROR(__xludf.DUMMYFUNCTION("""COMPUTED_VALUE"""),"Delivered")</f>
        <v>Delivered</v>
      </c>
      <c r="K6" s="18">
        <f>IFERROR(__xludf.DUMMYFUNCTION("""COMPUTED_VALUE"""),45894.3146412037)</f>
        <v>45894.31464</v>
      </c>
      <c r="L6" s="17" t="str">
        <f>IFERROR(__xludf.DUMMYFUNCTION("IFS(
  OR(REGEXMATCH(LOWER(E6), ""sirutar|sundarijal|sitapaila|duwakot|tikathali|bhaktapur|lalitpur|kathmandu|ktm|changunarayan|bageswari|ghalate|tinkune|balkot|tikathali""), REGEXMATCH(LOWER(E6), ""inside valley"")), ""Inside Valley"",
  REGEXMATCH(LOWER"&amp;"(E6), ""dharan|pokhara|biratnagar|birgunj|narayanghat|itahari|hetauda|janakpur|madi""), ""Tier 1"",
  REGEXMATCH(LOWER(E6), ""nepalgunj|butwal|birtamod|dhangadhi|ghorahi|beni|kushma|waling|haldibari|dulegauda|baitadi|bhadrapur|syangja|parbat|myagdi|dang|n"&amp;"uwakot|jhapa""), ""Tier 2"",
  TRUE, ""Tier 3""
)"),"Tier 2")</f>
        <v>Tier 2</v>
      </c>
      <c r="M6" s="20" t="s">
        <v>482</v>
      </c>
      <c r="N6" s="24" t="s">
        <v>483</v>
      </c>
      <c r="O6" s="25">
        <v>6.0</v>
      </c>
      <c r="P6" s="25">
        <v>8.0</v>
      </c>
      <c r="Q6" s="25">
        <v>19.0</v>
      </c>
      <c r="R6" s="24" t="s">
        <v>484</v>
      </c>
    </row>
    <row r="7" ht="22.5" customHeight="1">
      <c r="B7" s="18">
        <f>IFERROR(__xludf.DUMMYFUNCTION("""COMPUTED_VALUE"""),45893.17900462963)</f>
        <v>45893.179</v>
      </c>
      <c r="C7" s="17" t="str">
        <f>IFERROR(__xludf.DUMMYFUNCTION("""COMPUTED_VALUE"""),"Blue Nike 39")</f>
        <v>Blue Nike 39</v>
      </c>
      <c r="D7" s="17" t="str">
        <f>IFERROR(__xludf.DUMMYFUNCTION("""COMPUTED_VALUE"""),"Rajdip Chudal")</f>
        <v>Rajdip Chudal</v>
      </c>
      <c r="E7" s="17" t="str">
        <f>IFERROR(__xludf.DUMMYFUNCTION("""COMPUTED_VALUE"""),"Haldibari 4, magalbare jhapa")</f>
        <v>Haldibari 4, magalbare jhapa</v>
      </c>
      <c r="F7" s="17">
        <f>IFERROR(__xludf.DUMMYFUNCTION("""COMPUTED_VALUE"""),9.815936372E9)</f>
        <v>9815936372</v>
      </c>
      <c r="G7" s="22">
        <f>IFERROR(__xludf.DUMMYFUNCTION("""COMPUTED_VALUE"""),350.0)</f>
        <v>350</v>
      </c>
      <c r="H7" s="22">
        <f>IFERROR(__xludf.DUMMYFUNCTION("""COMPUTED_VALUE"""),1350.0)</f>
        <v>1350</v>
      </c>
      <c r="I7" s="22">
        <f>IFERROR(__xludf.DUMMYFUNCTION("""COMPUTED_VALUE"""),182.38)</f>
        <v>182.38</v>
      </c>
      <c r="J7" s="17" t="str">
        <f>IFERROR(__xludf.DUMMYFUNCTION("""COMPUTED_VALUE"""),"Delivered")</f>
        <v>Delivered</v>
      </c>
      <c r="K7" s="18">
        <f>IFERROR(__xludf.DUMMYFUNCTION("""COMPUTED_VALUE"""),45895.44592592593)</f>
        <v>45895.44593</v>
      </c>
      <c r="L7" s="17" t="str">
        <f>IFERROR(__xludf.DUMMYFUNCTION("IFS(
  OR(REGEXMATCH(LOWER(E7), ""sirutar|sundarijal|sitapaila|duwakot|tikathali|bhaktapur|lalitpur|kathmandu|ktm|changunarayan|bageswari|ghalate|tinkune|balkot|tikathali""), REGEXMATCH(LOWER(E7), ""inside valley"")), ""Inside Valley"",
  REGEXMATCH(LOWER"&amp;"(E7), ""dharan|pokhara|biratnagar|birgunj|narayanghat|itahari|hetauda|janakpur|madi""), ""Tier 1"",
  REGEXMATCH(LOWER(E7), ""nepalgunj|butwal|birtamod|dhangadhi|ghorahi|beni|kushma|waling|haldibari|dulegauda|baitadi|bhadrapur|syangja|parbat|myagdi|dang|n"&amp;"uwakot|jhapa""), ""Tier 2"",
  TRUE, ""Tier 3""
)"),"Tier 2")</f>
        <v>Tier 2</v>
      </c>
      <c r="M7" s="20" t="s">
        <v>474</v>
      </c>
      <c r="N7" s="24" t="s">
        <v>485</v>
      </c>
      <c r="O7" s="25">
        <v>7.0</v>
      </c>
      <c r="P7" s="25">
        <v>10.0</v>
      </c>
      <c r="Q7" s="25">
        <v>4.0</v>
      </c>
      <c r="R7" s="24" t="s">
        <v>486</v>
      </c>
    </row>
    <row r="8" ht="22.5" customHeight="1">
      <c r="B8" s="18">
        <f>IFERROR(__xludf.DUMMYFUNCTION("""COMPUTED_VALUE"""),45893.178032407406)</f>
        <v>45893.17803</v>
      </c>
      <c r="C8" s="17" t="str">
        <f>IFERROR(__xludf.DUMMYFUNCTION("""COMPUTED_VALUE"""),"Martin 3 sole size 39 39 38")</f>
        <v>Martin 3 sole size 39 39 38</v>
      </c>
      <c r="D8" s="17" t="str">
        <f>IFERROR(__xludf.DUMMYFUNCTION("""COMPUTED_VALUE"""),"Laxmi Rai")</f>
        <v>Laxmi Rai</v>
      </c>
      <c r="E8" s="17" t="str">
        <f>IFERROR(__xludf.DUMMYFUNCTION("""COMPUTED_VALUE""")," Shree antu, baral bhanjyang")</f>
        <v> Shree antu, baral bhanjyang</v>
      </c>
      <c r="F8" s="17">
        <f>IFERROR(__xludf.DUMMYFUNCTION("""COMPUTED_VALUE"""),9.769723304E9)</f>
        <v>9769723304</v>
      </c>
      <c r="G8" s="22">
        <f>IFERROR(__xludf.DUMMYFUNCTION("""COMPUTED_VALUE"""),1300.0)</f>
        <v>1300</v>
      </c>
      <c r="H8" s="22">
        <f>IFERROR(__xludf.DUMMYFUNCTION("""COMPUTED_VALUE"""),4650.0)</f>
        <v>4650</v>
      </c>
      <c r="I8" s="22">
        <f>IFERROR(__xludf.DUMMYFUNCTION("""COMPUTED_VALUE"""),220.63)</f>
        <v>220.63</v>
      </c>
      <c r="J8" s="17" t="str">
        <f>IFERROR(__xludf.DUMMYFUNCTION("""COMPUTED_VALUE"""),"Delivered")</f>
        <v>Delivered</v>
      </c>
      <c r="K8" s="18">
        <f>IFERROR(__xludf.DUMMYFUNCTION("""COMPUTED_VALUE"""),45898.376655092594)</f>
        <v>45898.37666</v>
      </c>
      <c r="L8" s="17" t="str">
        <f>IFERROR(__xludf.DUMMYFUNCTION("IFS(
  OR(REGEXMATCH(LOWER(E8), ""sirutar|sundarijal|sitapaila|duwakot|tikathali|bhaktapur|lalitpur|kathmandu|ktm|changunarayan|bageswari|ghalate|tinkune|balkot|tikathali""), REGEXMATCH(LOWER(E8), ""inside valley"")), ""Inside Valley"",
  REGEXMATCH(LOWER"&amp;"(E8), ""dharan|pokhara|biratnagar|birgunj|narayanghat|itahari|hetauda|janakpur|madi""), ""Tier 1"",
  REGEXMATCH(LOWER(E8), ""nepalgunj|butwal|birtamod|dhangadhi|ghorahi|beni|kushma|waling|haldibari|dulegauda|baitadi|bhadrapur|syangja|parbat|myagdi|dang|n"&amp;"uwakot|jhapa""), ""Tier 2"",
  TRUE, ""Tier 3""
)"),"Tier 3")</f>
        <v>Tier 3</v>
      </c>
      <c r="M8" s="20" t="s">
        <v>487</v>
      </c>
      <c r="N8" s="24" t="s">
        <v>488</v>
      </c>
      <c r="O8" s="25">
        <v>0.0</v>
      </c>
      <c r="P8" s="25">
        <v>10.0</v>
      </c>
      <c r="Q8" s="25">
        <v>8.0</v>
      </c>
      <c r="R8" s="24" t="s">
        <v>489</v>
      </c>
    </row>
    <row r="9" ht="22.5" customHeight="1">
      <c r="B9" s="18">
        <f>IFERROR(__xludf.DUMMYFUNCTION("""COMPUTED_VALUE"""),45892.28570601852)</f>
        <v>45892.28571</v>
      </c>
      <c r="C9" s="17" t="str">
        <f>IFERROR(__xludf.DUMMYFUNCTION("""COMPUTED_VALUE"""),"Nike 11 red and Martin 2 sole 42 and 43")</f>
        <v>Nike 11 red and Martin 2 sole 42 and 43</v>
      </c>
      <c r="D9" s="17" t="str">
        <f>IFERROR(__xludf.DUMMYFUNCTION("""COMPUTED_VALUE"""),"Dipak Shah")</f>
        <v>Dipak Shah</v>
      </c>
      <c r="E9" s="17" t="str">
        <f>IFERROR(__xludf.DUMMYFUNCTION("""COMPUTED_VALUE"""),"Tinkune, the new summit college")</f>
        <v>Tinkune, the new summit college</v>
      </c>
      <c r="F9" s="17">
        <f>IFERROR(__xludf.DUMMYFUNCTION("""COMPUTED_VALUE"""),9.826881955E9)</f>
        <v>9826881955</v>
      </c>
      <c r="G9" s="22">
        <f>IFERROR(__xludf.DUMMYFUNCTION("""COMPUTED_VALUE"""),800.0)</f>
        <v>800</v>
      </c>
      <c r="H9" s="22">
        <f>IFERROR(__xludf.DUMMYFUNCTION("""COMPUTED_VALUE"""),2600.0)</f>
        <v>2600</v>
      </c>
      <c r="I9" s="22">
        <f>IFERROR(__xludf.DUMMYFUNCTION("""COMPUTED_VALUE"""),105.5)</f>
        <v>105.5</v>
      </c>
      <c r="J9" s="17" t="str">
        <f>IFERROR(__xludf.DUMMYFUNCTION("""COMPUTED_VALUE"""),"Delivered")</f>
        <v>Delivered</v>
      </c>
      <c r="K9" s="18">
        <f>IFERROR(__xludf.DUMMYFUNCTION("""COMPUTED_VALUE"""),45893.2530324074)</f>
        <v>45893.25303</v>
      </c>
      <c r="L9" s="17" t="str">
        <f>IFERROR(__xludf.DUMMYFUNCTION("IFS(
  OR(REGEXMATCH(LOWER(E9), ""sirutar|sundarijal|sitapaila|duwakot|tikathali|bhaktapur|lalitpur|kathmandu|ktm|changunarayan|bageswari|ghalate|tinkune|balkot|tikathali""), REGEXMATCH(LOWER(E9), ""inside valley"")), ""Inside Valley"",
  REGEXMATCH(LOWER"&amp;"(E9), ""dharan|pokhara|biratnagar|birgunj|narayanghat|itahari|hetauda|janakpur|madi""), ""Tier 1"",
  REGEXMATCH(LOWER(E9), ""nepalgunj|butwal|birtamod|dhangadhi|ghorahi|beni|kushma|waling|haldibari|dulegauda|baitadi|bhadrapur|syangja|parbat|myagdi|dang|n"&amp;"uwakot|jhapa""), ""Tier 2"",
  TRUE, ""Tier 3""
)"),"Inside Valley")</f>
        <v>Inside Valley</v>
      </c>
      <c r="M9" s="20" t="s">
        <v>479</v>
      </c>
      <c r="N9" s="24" t="s">
        <v>490</v>
      </c>
      <c r="O9" s="25">
        <v>0.0</v>
      </c>
      <c r="P9" s="25">
        <v>1.0</v>
      </c>
      <c r="Q9" s="25">
        <v>3.0</v>
      </c>
      <c r="R9" s="24" t="s">
        <v>491</v>
      </c>
    </row>
    <row r="10" ht="22.5" customHeight="1">
      <c r="B10" s="18">
        <f>IFERROR(__xludf.DUMMYFUNCTION("""COMPUTED_VALUE"""),45892.228217592594)</f>
        <v>45892.22822</v>
      </c>
      <c r="C10" s="17" t="str">
        <f>IFERROR(__xludf.DUMMYFUNCTION("""COMPUTED_VALUE"""),"Martin 1 sole 43")</f>
        <v>Martin 1 sole 43</v>
      </c>
      <c r="D10" s="17" t="str">
        <f>IFERROR(__xludf.DUMMYFUNCTION("""COMPUTED_VALUE"""),"Chandra Bohara")</f>
        <v>Chandra Bohara</v>
      </c>
      <c r="E10" s="17" t="str">
        <f>IFERROR(__xludf.DUMMYFUNCTION("""COMPUTED_VALUE"""),"Dadeldhura, bagbazzar tufandadko check najik police bit")</f>
        <v>Dadeldhura, bagbazzar tufandadko check najik police bit</v>
      </c>
      <c r="F10" s="17">
        <f>IFERROR(__xludf.DUMMYFUNCTION("""COMPUTED_VALUE"""),9.865629618E9)</f>
        <v>9865629618</v>
      </c>
      <c r="G10" s="22">
        <f>IFERROR(__xludf.DUMMYFUNCTION("""COMPUTED_VALUE"""),450.0)</f>
        <v>450</v>
      </c>
      <c r="H10" s="22">
        <f>IFERROR(__xludf.DUMMYFUNCTION("""COMPUTED_VALUE"""),1350.0)</f>
        <v>1350</v>
      </c>
      <c r="I10" s="22">
        <f>IFERROR(__xludf.DUMMYFUNCTION("""COMPUTED_VALUE"""),182.38)</f>
        <v>182.38</v>
      </c>
      <c r="J10" s="17" t="str">
        <f>IFERROR(__xludf.DUMMYFUNCTION("""COMPUTED_VALUE"""),"Delivered")</f>
        <v>Delivered</v>
      </c>
      <c r="K10" s="18">
        <f>IFERROR(__xludf.DUMMYFUNCTION("""COMPUTED_VALUE"""),45895.355046296296)</f>
        <v>45895.35505</v>
      </c>
      <c r="L10" s="17" t="str">
        <f>IFERROR(__xludf.DUMMYFUNCTION("IFS(
  OR(REGEXMATCH(LOWER(E10), ""sirutar|sundarijal|sitapaila|duwakot|tikathali|bhaktapur|lalitpur|kathmandu|ktm|changunarayan|bageswari|ghalate|tinkune|balkot|tikathali""), REGEXMATCH(LOWER(E10), ""inside valley"")), ""Inside Valley"",
  REGEXMATCH(LOW"&amp;"ER(E10), ""dharan|pokhara|biratnagar|birgunj|narayanghat|itahari|hetauda|janakpur|madi""), ""Tier 1"",
  REGEXMATCH(LOWER(E10), ""nepalgunj|butwal|birtamod|dhangadhi|ghorahi|beni|kushma|waling|haldibari|dulegauda|baitadi|bhadrapur|syangja|parbat|myagdi|da"&amp;"ng|nuwakot|jhapa""), ""Tier 2"",
  TRUE, ""Tier 3""
)"),"Tier 3")</f>
        <v>Tier 3</v>
      </c>
      <c r="M10" s="20" t="s">
        <v>492</v>
      </c>
      <c r="N10" s="24" t="s">
        <v>493</v>
      </c>
      <c r="O10" s="25">
        <v>0.0</v>
      </c>
      <c r="P10" s="25">
        <v>0.0</v>
      </c>
      <c r="Q10" s="25">
        <v>3.0</v>
      </c>
      <c r="R10" s="24" t="s">
        <v>494</v>
      </c>
    </row>
    <row r="11" ht="22.5" customHeight="1">
      <c r="B11" s="18">
        <f>IFERROR(__xludf.DUMMYFUNCTION("""COMPUTED_VALUE"""),45892.22659722222)</f>
        <v>45892.2266</v>
      </c>
      <c r="C11" s="17" t="str">
        <f>IFERROR(__xludf.DUMMYFUNCTION("""COMPUTED_VALUE"""),"Martin 2 sole 40")</f>
        <v>Martin 2 sole 40</v>
      </c>
      <c r="D11" s="17" t="str">
        <f>IFERROR(__xludf.DUMMYFUNCTION("""COMPUTED_VALUE"""),"Prabin Karki")</f>
        <v>Prabin Karki</v>
      </c>
      <c r="E11" s="17" t="str">
        <f>IFERROR(__xludf.DUMMYFUNCTION("""COMPUTED_VALUE"""),"Solukhumbu, tingla")</f>
        <v>Solukhumbu, tingla</v>
      </c>
      <c r="F11" s="17">
        <f>IFERROR(__xludf.DUMMYFUNCTION("""COMPUTED_VALUE"""),9.749215487E9)</f>
        <v>9749215487</v>
      </c>
      <c r="G11" s="22">
        <f>IFERROR(__xludf.DUMMYFUNCTION("""COMPUTED_VALUE"""),550.0)</f>
        <v>550</v>
      </c>
      <c r="H11" s="22">
        <f>IFERROR(__xludf.DUMMYFUNCTION("""COMPUTED_VALUE"""),1550.0)</f>
        <v>1550</v>
      </c>
      <c r="I11" s="22">
        <f>IFERROR(__xludf.DUMMYFUNCTION("""COMPUTED_VALUE"""),212.88)</f>
        <v>212.88</v>
      </c>
      <c r="J11" s="17" t="str">
        <f>IFERROR(__xludf.DUMMYFUNCTION("""COMPUTED_VALUE"""),"Delivered")</f>
        <v>Delivered</v>
      </c>
      <c r="K11" s="18">
        <f>IFERROR(__xludf.DUMMYFUNCTION("""COMPUTED_VALUE"""),45898.67103009259)</f>
        <v>45898.67103</v>
      </c>
      <c r="L11" s="17" t="str">
        <f>IFERROR(__xludf.DUMMYFUNCTION("IFS(
  OR(REGEXMATCH(LOWER(E11), ""sirutar|sundarijal|sitapaila|duwakot|tikathali|bhaktapur|lalitpur|kathmandu|ktm|changunarayan|bageswari|ghalate|tinkune|balkot|tikathali""), REGEXMATCH(LOWER(E11), ""inside valley"")), ""Inside Valley"",
  REGEXMATCH(LOW"&amp;"ER(E11), ""dharan|pokhara|biratnagar|birgunj|narayanghat|itahari|hetauda|janakpur|madi""), ""Tier 1"",
  REGEXMATCH(LOWER(E11), ""nepalgunj|butwal|birtamod|dhangadhi|ghorahi|beni|kushma|waling|haldibari|dulegauda|baitadi|bhadrapur|syangja|parbat|myagdi|da"&amp;"ng|nuwakot|jhapa""), ""Tier 2"",
  TRUE, ""Tier 3""
)"),"Tier 3")</f>
        <v>Tier 3</v>
      </c>
      <c r="M11" s="20" t="s">
        <v>474</v>
      </c>
      <c r="N11" s="24" t="s">
        <v>495</v>
      </c>
      <c r="O11" s="25">
        <v>0.0</v>
      </c>
      <c r="P11" s="25">
        <v>0.0</v>
      </c>
      <c r="Q11" s="25">
        <v>1.0</v>
      </c>
      <c r="R11" s="24" t="s">
        <v>496</v>
      </c>
    </row>
    <row r="12" ht="22.5" customHeight="1">
      <c r="B12" s="18">
        <f>IFERROR(__xludf.DUMMYFUNCTION("""COMPUTED_VALUE"""),45891.18746527778)</f>
        <v>45891.18747</v>
      </c>
      <c r="C12" s="17" t="str">
        <f>IFERROR(__xludf.DUMMYFUNCTION("""COMPUTED_VALUE"""),"Blue Nike size 42")</f>
        <v>Blue Nike size 42</v>
      </c>
      <c r="D12" s="17" t="str">
        <f>IFERROR(__xludf.DUMMYFUNCTION("""COMPUTED_VALUE"""),"Biraj Tamang")</f>
        <v>Biraj Tamang</v>
      </c>
      <c r="E12" s="17" t="str">
        <f>IFERROR(__xludf.DUMMYFUNCTION("""COMPUTED_VALUE"""),"Jhapa, budhabare or buddhashanti ")</f>
        <v>Jhapa, budhabare or buddhashanti </v>
      </c>
      <c r="F12" s="17">
        <f>IFERROR(__xludf.DUMMYFUNCTION("""COMPUTED_VALUE"""),9.702839214E9)</f>
        <v>9702839214</v>
      </c>
      <c r="G12" s="22">
        <f>IFERROR(__xludf.DUMMYFUNCTION("""COMPUTED_VALUE"""),350.0)</f>
        <v>350</v>
      </c>
      <c r="H12" s="22">
        <f>IFERROR(__xludf.DUMMYFUNCTION("""COMPUTED_VALUE"""),1350.0)</f>
        <v>1350</v>
      </c>
      <c r="I12" s="22">
        <f>IFERROR(__xludf.DUMMYFUNCTION("""COMPUTED_VALUE"""),182.38)</f>
        <v>182.38</v>
      </c>
      <c r="J12" s="17" t="str">
        <f>IFERROR(__xludf.DUMMYFUNCTION("""COMPUTED_VALUE"""),"Delivered")</f>
        <v>Delivered</v>
      </c>
      <c r="K12" s="18">
        <f>IFERROR(__xludf.DUMMYFUNCTION("""COMPUTED_VALUE"""),45894.39797453704)</f>
        <v>45894.39797</v>
      </c>
      <c r="L12" s="17" t="str">
        <f>IFERROR(__xludf.DUMMYFUNCTION("IFS(
  OR(REGEXMATCH(LOWER(E12), ""sirutar|sundarijal|sitapaila|duwakot|tikathali|bhaktapur|lalitpur|kathmandu|ktm|changunarayan|bageswari|ghalate|tinkune|balkot|tikathali""), REGEXMATCH(LOWER(E12), ""inside valley"")), ""Inside Valley"",
  REGEXMATCH(LOW"&amp;"ER(E12), ""dharan|pokhara|biratnagar|birgunj|narayanghat|itahari|hetauda|janakpur|madi""), ""Tier 1"",
  REGEXMATCH(LOWER(E12), ""nepalgunj|butwal|birtamod|dhangadhi|ghorahi|beni|kushma|waling|haldibari|dulegauda|baitadi|bhadrapur|syangja|parbat|myagdi|da"&amp;"ng|nuwakot|jhapa""), ""Tier 2"",
  TRUE, ""Tier 3""
)"),"Tier 2")</f>
        <v>Tier 2</v>
      </c>
      <c r="M12" s="20" t="s">
        <v>474</v>
      </c>
      <c r="N12" s="26"/>
      <c r="O12" s="27">
        <f>sum(Table2[Tier 1])</f>
        <v>37</v>
      </c>
      <c r="P12" s="27">
        <f>SUM(Table2[Tier 2])</f>
        <v>31</v>
      </c>
      <c r="Q12" s="27">
        <f>SUM(Table2[Tier 3])</f>
        <v>55</v>
      </c>
      <c r="R12" s="28" t="s">
        <v>497</v>
      </c>
    </row>
    <row r="13">
      <c r="B13" s="18">
        <f>IFERROR(__xludf.DUMMYFUNCTION("""COMPUTED_VALUE"""),45891.18523148148)</f>
        <v>45891.18523</v>
      </c>
      <c r="C13" s="17" t="str">
        <f>IFERROR(__xludf.DUMMYFUNCTION("""COMPUTED_VALUE"""),"Red Nike 40")</f>
        <v>Red Nike 40</v>
      </c>
      <c r="D13" s="17" t="str">
        <f>IFERROR(__xludf.DUMMYFUNCTION("""COMPUTED_VALUE"""),"Sujan Jagebu Limbu")</f>
        <v>Sujan Jagebu Limbu</v>
      </c>
      <c r="E13" s="17" t="str">
        <f>IFERROR(__xludf.DUMMYFUNCTION("""COMPUTED_VALUE"""),"Jhapa, birtamod karat chowk Road no 1")</f>
        <v>Jhapa, birtamod karat chowk Road no 1</v>
      </c>
      <c r="F13" s="17">
        <f>IFERROR(__xludf.DUMMYFUNCTION("""COMPUTED_VALUE"""),9.700427269E9)</f>
        <v>9700427269</v>
      </c>
      <c r="G13" s="22">
        <f>IFERROR(__xludf.DUMMYFUNCTION("""COMPUTED_VALUE"""),450.0)</f>
        <v>450</v>
      </c>
      <c r="H13" s="22">
        <f>IFERROR(__xludf.DUMMYFUNCTION("""COMPUTED_VALUE"""),1350.0)</f>
        <v>1350</v>
      </c>
      <c r="I13" s="22">
        <f>IFERROR(__xludf.DUMMYFUNCTION("""COMPUTED_VALUE"""),182.38)</f>
        <v>182.38</v>
      </c>
      <c r="J13" s="17" t="str">
        <f>IFERROR(__xludf.DUMMYFUNCTION("""COMPUTED_VALUE"""),"Delivered")</f>
        <v>Delivered</v>
      </c>
      <c r="K13" s="18">
        <f>IFERROR(__xludf.DUMMYFUNCTION("""COMPUTED_VALUE"""),45893.449965277774)</f>
        <v>45893.44997</v>
      </c>
      <c r="L13" s="17" t="str">
        <f>IFERROR(__xludf.DUMMYFUNCTION("IFS(
  OR(REGEXMATCH(LOWER(E13), ""sirutar|sundarijal|sitapaila|duwakot|tikathali|bhaktapur|lalitpur|kathmandu|ktm|changunarayan|bageswari|ghalate|tinkune|balkot|tikathali""), REGEXMATCH(LOWER(E13), ""inside valley"")), ""Inside Valley"",
  REGEXMATCH(LOW"&amp;"ER(E13), ""dharan|pokhara|biratnagar|birgunj|narayanghat|itahari|hetauda|janakpur|madi""), ""Tier 1"",
  REGEXMATCH(LOWER(E13), ""nepalgunj|butwal|birtamod|dhangadhi|ghorahi|beni|kushma|waling|haldibari|dulegauda|baitadi|bhadrapur|syangja|parbat|myagdi|da"&amp;"ng|nuwakot|jhapa""), ""Tier 2"",
  TRUE, ""Tier 3""
)"),"Tier 2")</f>
        <v>Tier 2</v>
      </c>
      <c r="M13" s="20" t="s">
        <v>474</v>
      </c>
    </row>
    <row r="14">
      <c r="B14" s="18">
        <f>IFERROR(__xludf.DUMMYFUNCTION("""COMPUTED_VALUE"""),45890.17833333333)</f>
        <v>45890.17833</v>
      </c>
      <c r="C14" s="17" t="str">
        <f>IFERROR(__xludf.DUMMYFUNCTION("""COMPUTED_VALUE"""),"Casual Adidas shoes 41")</f>
        <v>Casual Adidas shoes 41</v>
      </c>
      <c r="D14" s="17" t="str">
        <f>IFERROR(__xludf.DUMMYFUNCTION("""COMPUTED_VALUE"""),"Asmirt Tamang")</f>
        <v>Asmirt Tamang</v>
      </c>
      <c r="E14" s="17" t="str">
        <f>IFERROR(__xludf.DUMMYFUNCTION("""COMPUTED_VALUE"""),"Pokhara")</f>
        <v>Pokhara</v>
      </c>
      <c r="F14" s="17">
        <f>IFERROR(__xludf.DUMMYFUNCTION("""COMPUTED_VALUE"""),9.703252518E9)</f>
        <v>9703252518</v>
      </c>
      <c r="G14" s="22">
        <f>IFERROR(__xludf.DUMMYFUNCTION("""COMPUTED_VALUE"""),450.0)</f>
        <v>450</v>
      </c>
      <c r="H14" s="22">
        <f>IFERROR(__xludf.DUMMYFUNCTION("""COMPUTED_VALUE"""),1450.0)</f>
        <v>1450</v>
      </c>
      <c r="I14" s="22">
        <f>IFERROR(__xludf.DUMMYFUNCTION("""COMPUTED_VALUE"""),162.63)</f>
        <v>162.63</v>
      </c>
      <c r="J14" s="17" t="str">
        <f>IFERROR(__xludf.DUMMYFUNCTION("""COMPUTED_VALUE"""),"Delivered")</f>
        <v>Delivered</v>
      </c>
      <c r="K14" s="18">
        <f>IFERROR(__xludf.DUMMYFUNCTION("""COMPUTED_VALUE"""),45893.31458333333)</f>
        <v>45893.31458</v>
      </c>
      <c r="L14" s="17" t="str">
        <f>IFERROR(__xludf.DUMMYFUNCTION("IFS(
  OR(REGEXMATCH(LOWER(E14), ""sirutar|sundarijal|sitapaila|duwakot|tikathali|bhaktapur|lalitpur|kathmandu|ktm|changunarayan|bageswari|ghalate|tinkune|balkot|tikathali""), REGEXMATCH(LOWER(E14), ""inside valley"")), ""Inside Valley"",
  REGEXMATCH(LOW"&amp;"ER(E14), ""dharan|pokhara|biratnagar|birgunj|narayanghat|itahari|hetauda|janakpur|madi""), ""Tier 1"",
  REGEXMATCH(LOWER(E14), ""nepalgunj|butwal|birtamod|dhangadhi|ghorahi|beni|kushma|waling|haldibari|dulegauda|baitadi|bhadrapur|syangja|parbat|myagdi|da"&amp;"ng|nuwakot|jhapa""), ""Tier 2"",
  TRUE, ""Tier 3""
)"),"Tier 1")</f>
        <v>Tier 1</v>
      </c>
      <c r="M14" s="20" t="s">
        <v>482</v>
      </c>
    </row>
    <row r="15">
      <c r="B15" s="18">
        <f>IFERROR(__xludf.DUMMYFUNCTION("""COMPUTED_VALUE"""),45890.17673611111)</f>
        <v>45890.17674</v>
      </c>
      <c r="C15" s="17" t="str">
        <f>IFERROR(__xludf.DUMMYFUNCTION("""COMPUTED_VALUE"""),"Martin 2 sole 39 nayabasti")</f>
        <v>Martin 2 sole 39 nayabasti</v>
      </c>
      <c r="D15" s="17" t="str">
        <f>IFERROR(__xludf.DUMMYFUNCTION("""COMPUTED_VALUE"""),"Anil Khadgi")</f>
        <v>Anil Khadgi</v>
      </c>
      <c r="E15" s="17" t="str">
        <f>IFERROR(__xludf.DUMMYFUNCTION("""COMPUTED_VALUE"""),"Sitapaila mathi ramkot")</f>
        <v>Sitapaila mathi ramkot</v>
      </c>
      <c r="F15" s="17">
        <f>IFERROR(__xludf.DUMMYFUNCTION("""COMPUTED_VALUE"""),9.803874775E9)</f>
        <v>9803874775</v>
      </c>
      <c r="G15" s="22">
        <f>IFERROR(__xludf.DUMMYFUNCTION("""COMPUTED_VALUE"""),500.0)</f>
        <v>500</v>
      </c>
      <c r="H15" s="22">
        <f>IFERROR(__xludf.DUMMYFUNCTION("""COMPUTED_VALUE"""),1500.0)</f>
        <v>1500</v>
      </c>
      <c r="I15" s="22">
        <f>IFERROR(__xludf.DUMMYFUNCTION("""COMPUTED_VALUE"""),102.75)</f>
        <v>102.75</v>
      </c>
      <c r="J15" s="17" t="str">
        <f>IFERROR(__xludf.DUMMYFUNCTION("""COMPUTED_VALUE"""),"Delivered")</f>
        <v>Delivered</v>
      </c>
      <c r="K15" s="18">
        <f>IFERROR(__xludf.DUMMYFUNCTION("""COMPUTED_VALUE"""),45890.50582175926)</f>
        <v>45890.50582</v>
      </c>
      <c r="L15" s="17" t="str">
        <f>IFERROR(__xludf.DUMMYFUNCTION("IFS(
  OR(REGEXMATCH(LOWER(E15), ""sirutar|sundarijal|sitapaila|duwakot|tikathali|bhaktapur|lalitpur|kathmandu|ktm|changunarayan|bageswari|ghalate|tinkune|balkot|tikathali""), REGEXMATCH(LOWER(E15), ""inside valley"")), ""Inside Valley"",
  REGEXMATCH(LOW"&amp;"ER(E15), ""dharan|pokhara|biratnagar|birgunj|narayanghat|itahari|hetauda|janakpur|madi""), ""Tier 1"",
  REGEXMATCH(LOWER(E15), ""nepalgunj|butwal|birtamod|dhangadhi|ghorahi|beni|kushma|waling|haldibari|dulegauda|baitadi|bhadrapur|syangja|parbat|myagdi|da"&amp;"ng|nuwakot|jhapa""), ""Tier 2"",
  TRUE, ""Tier 3""
)"),"Inside Valley")</f>
        <v>Inside Valley</v>
      </c>
      <c r="M15" s="20" t="s">
        <v>479</v>
      </c>
    </row>
    <row r="16">
      <c r="B16" s="18">
        <f>IFERROR(__xludf.DUMMYFUNCTION("""COMPUTED_VALUE"""),45890.17537037037)</f>
        <v>45890.17537</v>
      </c>
      <c r="C16" s="17" t="str">
        <f>IFERROR(__xludf.DUMMYFUNCTION("""COMPUTED_VALUE"""),"Martin 3 sole size 43")</f>
        <v>Martin 3 sole size 43</v>
      </c>
      <c r="D16" s="17" t="str">
        <f>IFERROR(__xludf.DUMMYFUNCTION("""COMPUTED_VALUE"""),"Bikash")</f>
        <v>Bikash</v>
      </c>
      <c r="E16" s="17" t="str">
        <f>IFERROR(__xludf.DUMMYFUNCTION("""COMPUTED_VALUE"""),"Rolpa, ghartghau")</f>
        <v>Rolpa, ghartghau</v>
      </c>
      <c r="F16" s="17">
        <f>IFERROR(__xludf.DUMMYFUNCTION("""COMPUTED_VALUE"""),9.765840359E9)</f>
        <v>9765840359</v>
      </c>
      <c r="G16" s="22">
        <f>IFERROR(__xludf.DUMMYFUNCTION("""COMPUTED_VALUE"""),650.0)</f>
        <v>650</v>
      </c>
      <c r="H16" s="22">
        <f>IFERROR(__xludf.DUMMYFUNCTION("""COMPUTED_VALUE"""),1650.0)</f>
        <v>1650</v>
      </c>
      <c r="I16" s="22">
        <f>IFERROR(__xludf.DUMMYFUNCTION("""COMPUTED_VALUE"""),213.13)</f>
        <v>213.13</v>
      </c>
      <c r="J16" s="17" t="str">
        <f>IFERROR(__xludf.DUMMYFUNCTION("""COMPUTED_VALUE"""),"Delivered")</f>
        <v>Delivered</v>
      </c>
      <c r="K16" s="18">
        <f>IFERROR(__xludf.DUMMYFUNCTION("""COMPUTED_VALUE"""),45895.638506944444)</f>
        <v>45895.63851</v>
      </c>
      <c r="L16" s="17" t="str">
        <f>IFERROR(__xludf.DUMMYFUNCTION("IFS(
  OR(REGEXMATCH(LOWER(E16), ""sirutar|sundarijal|sitapaila|duwakot|tikathali|bhaktapur|lalitpur|kathmandu|ktm|changunarayan|bageswari|ghalate|tinkune|balkot|tikathali""), REGEXMATCH(LOWER(E16), ""inside valley"")), ""Inside Valley"",
  REGEXMATCH(LOW"&amp;"ER(E16), ""dharan|pokhara|biratnagar|birgunj|narayanghat|itahari|hetauda|janakpur|madi""), ""Tier 1"",
  REGEXMATCH(LOWER(E16), ""nepalgunj|butwal|birtamod|dhangadhi|ghorahi|beni|kushma|waling|haldibari|dulegauda|baitadi|bhadrapur|syangja|parbat|myagdi|da"&amp;"ng|nuwakot|jhapa""), ""Tier 2"",
  TRUE, ""Tier 3""
)"),"Tier 3")</f>
        <v>Tier 3</v>
      </c>
      <c r="M16" s="20" t="s">
        <v>498</v>
      </c>
    </row>
    <row r="17">
      <c r="B17" s="18">
        <f>IFERROR(__xludf.DUMMYFUNCTION("""COMPUTED_VALUE"""),45889.17605324074)</f>
        <v>45889.17605</v>
      </c>
      <c r="C17" s="17" t="str">
        <f>IFERROR(__xludf.DUMMYFUNCTION("""COMPUTED_VALUE"""),"Chelsea size 43")</f>
        <v>Chelsea size 43</v>
      </c>
      <c r="D17" s="17" t="str">
        <f>IFERROR(__xludf.DUMMYFUNCTION("""COMPUTED_VALUE"""),"Dipendra Chaudhari")</f>
        <v>Dipendra Chaudhari</v>
      </c>
      <c r="E17" s="17" t="str">
        <f>IFERROR(__xludf.DUMMYFUNCTION("""COMPUTED_VALUE"""),"Chitwan, madi")</f>
        <v>Chitwan, madi</v>
      </c>
      <c r="F17" s="17">
        <f>IFERROR(__xludf.DUMMYFUNCTION("""COMPUTED_VALUE"""),9.807289391E9)</f>
        <v>9807289391</v>
      </c>
      <c r="G17" s="22">
        <f>IFERROR(__xludf.DUMMYFUNCTION("""COMPUTED_VALUE"""),450.0)</f>
        <v>450</v>
      </c>
      <c r="H17" s="22">
        <f>IFERROR(__xludf.DUMMYFUNCTION("""COMPUTED_VALUE"""),1450.0)</f>
        <v>1450</v>
      </c>
      <c r="I17" s="22">
        <f>IFERROR(__xludf.DUMMYFUNCTION("""COMPUTED_VALUE"""),162.63)</f>
        <v>162.63</v>
      </c>
      <c r="J17" s="17" t="str">
        <f>IFERROR(__xludf.DUMMYFUNCTION("""COMPUTED_VALUE"""),"Delivered")</f>
        <v>Delivered</v>
      </c>
      <c r="K17" s="18">
        <f>IFERROR(__xludf.DUMMYFUNCTION("""COMPUTED_VALUE"""),45891.61177083333)</f>
        <v>45891.61177</v>
      </c>
      <c r="L17" s="17" t="str">
        <f>IFERROR(__xludf.DUMMYFUNCTION("IFS(
  OR(REGEXMATCH(LOWER(E17), ""sirutar|sundarijal|sitapaila|duwakot|tikathali|bhaktapur|lalitpur|kathmandu|ktm|changunarayan|bageswari|ghalate|tinkune|balkot|tikathali""), REGEXMATCH(LOWER(E17), ""inside valley"")), ""Inside Valley"",
  REGEXMATCH(LOW"&amp;"ER(E17), ""dharan|pokhara|biratnagar|birgunj|narayanghat|itahari|hetauda|janakpur|madi""), ""Tier 1"",
  REGEXMATCH(LOWER(E17), ""nepalgunj|butwal|birtamod|dhangadhi|ghorahi|beni|kushma|waling|haldibari|dulegauda|baitadi|bhadrapur|syangja|parbat|myagdi|da"&amp;"ng|nuwakot|jhapa""), ""Tier 2"",
  TRUE, ""Tier 3""
)"),"Tier 1")</f>
        <v>Tier 1</v>
      </c>
      <c r="M17" s="20" t="s">
        <v>479</v>
      </c>
    </row>
    <row r="18">
      <c r="B18" s="18">
        <f>IFERROR(__xludf.DUMMYFUNCTION("""COMPUTED_VALUE"""),45889.1749074074)</f>
        <v>45889.17491</v>
      </c>
      <c r="C18" s="17" t="str">
        <f>IFERROR(__xludf.DUMMYFUNCTION("""COMPUTED_VALUE"""),"Martin 3 sole size 41")</f>
        <v>Martin 3 sole size 41</v>
      </c>
      <c r="D18" s="17" t="str">
        <f>IFERROR(__xludf.DUMMYFUNCTION("""COMPUTED_VALUE"""),"Ninam Rai")</f>
        <v>Ninam Rai</v>
      </c>
      <c r="E18" s="17" t="str">
        <f>IFERROR(__xludf.DUMMYFUNCTION("""COMPUTED_VALUE"""),"Taplejung")</f>
        <v>Taplejung</v>
      </c>
      <c r="F18" s="17">
        <f>IFERROR(__xludf.DUMMYFUNCTION("""COMPUTED_VALUE"""),9.767381711E9)</f>
        <v>9767381711</v>
      </c>
      <c r="G18" s="22">
        <f>IFERROR(__xludf.DUMMYFUNCTION("""COMPUTED_VALUE"""),550.0)</f>
        <v>550</v>
      </c>
      <c r="H18" s="22">
        <f>IFERROR(__xludf.DUMMYFUNCTION("""COMPUTED_VALUE"""),1550.0)</f>
        <v>1550</v>
      </c>
      <c r="I18" s="22">
        <f>IFERROR(__xludf.DUMMYFUNCTION("""COMPUTED_VALUE"""),212.88)</f>
        <v>212.88</v>
      </c>
      <c r="J18" s="17" t="str">
        <f>IFERROR(__xludf.DUMMYFUNCTION("""COMPUTED_VALUE"""),"Delivered")</f>
        <v>Delivered</v>
      </c>
      <c r="K18" s="18">
        <f>IFERROR(__xludf.DUMMYFUNCTION("""COMPUTED_VALUE"""),45895.23165509259)</f>
        <v>45895.23166</v>
      </c>
      <c r="L18" s="17" t="str">
        <f>IFERROR(__xludf.DUMMYFUNCTION("IFS(
  OR(REGEXMATCH(LOWER(E18), ""sirutar|sundarijal|sitapaila|duwakot|tikathali|bhaktapur|lalitpur|kathmandu|ktm|changunarayan|bageswari|ghalate|tinkune|balkot|tikathali""), REGEXMATCH(LOWER(E18), ""inside valley"")), ""Inside Valley"",
  REGEXMATCH(LOW"&amp;"ER(E18), ""dharan|pokhara|biratnagar|birgunj|narayanghat|itahari|hetauda|janakpur|madi""), ""Tier 1"",
  REGEXMATCH(LOWER(E18), ""nepalgunj|butwal|birtamod|dhangadhi|ghorahi|beni|kushma|waling|haldibari|dulegauda|baitadi|bhadrapur|syangja|parbat|myagdi|da"&amp;"ng|nuwakot|jhapa""), ""Tier 2"",
  TRUE, ""Tier 3""
)"),"Tier 3")</f>
        <v>Tier 3</v>
      </c>
      <c r="M18" s="20" t="s">
        <v>474</v>
      </c>
    </row>
    <row r="19">
      <c r="B19" s="18">
        <f>IFERROR(__xludf.DUMMYFUNCTION("""COMPUTED_VALUE"""),45889.17271990741)</f>
        <v>45889.17272</v>
      </c>
      <c r="C19" s="17" t="str">
        <f>IFERROR(__xludf.DUMMYFUNCTION("""COMPUTED_VALUE"""),"Converse black size 40")</f>
        <v>Converse black size 40</v>
      </c>
      <c r="D19" s="17" t="str">
        <f>IFERROR(__xludf.DUMMYFUNCTION("""COMPUTED_VALUE"""),"Ajeet Khadka")</f>
        <v>Ajeet Khadka</v>
      </c>
      <c r="E19" s="17" t="str">
        <f>IFERROR(__xludf.DUMMYFUNCTION("""COMPUTED_VALUE"""),"Bhaktapur, bageswari changunarayan nabarpalika wada no 7")</f>
        <v>Bhaktapur, bageswari changunarayan nabarpalika wada no 7</v>
      </c>
      <c r="F19" s="17">
        <f>IFERROR(__xludf.DUMMYFUNCTION("""COMPUTED_VALUE"""),9.860944595E9)</f>
        <v>9860944595</v>
      </c>
      <c r="G19" s="22">
        <f>IFERROR(__xludf.DUMMYFUNCTION("""COMPUTED_VALUE"""),500.0)</f>
        <v>500</v>
      </c>
      <c r="H19" s="22">
        <f>IFERROR(__xludf.DUMMYFUNCTION("""COMPUTED_VALUE"""),1300.0)</f>
        <v>1300</v>
      </c>
      <c r="I19" s="22">
        <f>IFERROR(__xludf.DUMMYFUNCTION("""COMPUTED_VALUE"""),182.25)</f>
        <v>182.25</v>
      </c>
      <c r="J19" s="17" t="str">
        <f>IFERROR(__xludf.DUMMYFUNCTION("""COMPUTED_VALUE"""),"Delivered")</f>
        <v>Delivered</v>
      </c>
      <c r="K19" s="18">
        <f>IFERROR(__xludf.DUMMYFUNCTION("""COMPUTED_VALUE"""),45890.36565972222)</f>
        <v>45890.36566</v>
      </c>
      <c r="L19" s="17" t="str">
        <f>IFERROR(__xludf.DUMMYFUNCTION("IFS(
  OR(REGEXMATCH(LOWER(E19), ""sirutar|sundarijal|sitapaila|duwakot|tikathali|bhaktapur|lalitpur|kathmandu|ktm|changunarayan|bageswari|ghalate|tinkune|balkot|tikathali""), REGEXMATCH(LOWER(E19), ""inside valley"")), ""Inside Valley"",
  REGEXMATCH(LOW"&amp;"ER(E19), ""dharan|pokhara|biratnagar|birgunj|narayanghat|itahari|hetauda|janakpur|madi""), ""Tier 1"",
  REGEXMATCH(LOWER(E19), ""nepalgunj|butwal|birtamod|dhangadhi|ghorahi|beni|kushma|waling|haldibari|dulegauda|baitadi|bhadrapur|syangja|parbat|myagdi|da"&amp;"ng|nuwakot|jhapa""), ""Tier 2"",
  TRUE, ""Tier 3""
)"),"Inside Valley")</f>
        <v>Inside Valley</v>
      </c>
      <c r="M19" s="20" t="s">
        <v>479</v>
      </c>
    </row>
    <row r="20">
      <c r="B20" s="18">
        <f>IFERROR(__xludf.DUMMYFUNCTION("""COMPUTED_VALUE"""),45888.17891203704)</f>
        <v>45888.17891</v>
      </c>
      <c r="C20" s="17" t="str">
        <f>IFERROR(__xludf.DUMMYFUNCTION("""COMPUTED_VALUE"""),"Martin single 41 and 42")</f>
        <v>Martin single 41 and 42</v>
      </c>
      <c r="D20" s="17" t="str">
        <f>IFERROR(__xludf.DUMMYFUNCTION("""COMPUTED_VALUE"""),"Sitaram Pun")</f>
        <v>Sitaram Pun</v>
      </c>
      <c r="E20" s="17" t="str">
        <f>IFERROR(__xludf.DUMMYFUNCTION("""COMPUTED_VALUE"""),"Pyuthan, sari")</f>
        <v>Pyuthan, sari</v>
      </c>
      <c r="F20" s="17">
        <f>IFERROR(__xludf.DUMMYFUNCTION("""COMPUTED_VALUE"""),9.762095448E9)</f>
        <v>9762095448</v>
      </c>
      <c r="G20" s="22">
        <f>IFERROR(__xludf.DUMMYFUNCTION("""COMPUTED_VALUE"""),550.0)</f>
        <v>550</v>
      </c>
      <c r="H20" s="22">
        <f>IFERROR(__xludf.DUMMYFUNCTION("""COMPUTED_VALUE"""),2550.0)</f>
        <v>2550</v>
      </c>
      <c r="I20" s="22">
        <f>IFERROR(__xludf.DUMMYFUNCTION("""COMPUTED_VALUE"""),185.38)</f>
        <v>185.38</v>
      </c>
      <c r="J20" s="17" t="str">
        <f>IFERROR(__xludf.DUMMYFUNCTION("""COMPUTED_VALUE"""),"Delivered")</f>
        <v>Delivered</v>
      </c>
      <c r="K20" s="18">
        <f>IFERROR(__xludf.DUMMYFUNCTION("""COMPUTED_VALUE"""),45893.495370370365)</f>
        <v>45893.49537</v>
      </c>
      <c r="L20" s="17" t="str">
        <f>IFERROR(__xludf.DUMMYFUNCTION("IFS(
  OR(REGEXMATCH(LOWER(E20), ""sirutar|sundarijal|sitapaila|duwakot|tikathali|bhaktapur|lalitpur|kathmandu|ktm|changunarayan|bageswari|ghalate|tinkune|balkot|tikathali""), REGEXMATCH(LOWER(E20), ""inside valley"")), ""Inside Valley"",
  REGEXMATCH(LOW"&amp;"ER(E20), ""dharan|pokhara|biratnagar|birgunj|narayanghat|itahari|hetauda|janakpur|madi""), ""Tier 1"",
  REGEXMATCH(LOWER(E20), ""nepalgunj|butwal|birtamod|dhangadhi|ghorahi|beni|kushma|waling|haldibari|dulegauda|baitadi|bhadrapur|syangja|parbat|myagdi|da"&amp;"ng|nuwakot|jhapa""), ""Tier 2"",
  TRUE, ""Tier 3""
)"),"Tier 3")</f>
        <v>Tier 3</v>
      </c>
      <c r="M20" s="20" t="s">
        <v>498</v>
      </c>
    </row>
    <row r="21">
      <c r="B21" s="18">
        <f>IFERROR(__xludf.DUMMYFUNCTION("""COMPUTED_VALUE"""),45888.17722222222)</f>
        <v>45888.17722</v>
      </c>
      <c r="C21" s="17" t="str">
        <f>IFERROR(__xludf.DUMMYFUNCTION("""COMPUTED_VALUE"""),"Martin 3 sole size  39")</f>
        <v>Martin 3 sole size  39</v>
      </c>
      <c r="D21" s="17" t="str">
        <f>IFERROR(__xludf.DUMMYFUNCTION("""COMPUTED_VALUE"""),"Bali Rawat")</f>
        <v>Bali Rawat</v>
      </c>
      <c r="E21" s="17" t="str">
        <f>IFERROR(__xludf.DUMMYFUNCTION("""COMPUTED_VALUE"""),"Nepalgunj, muktpur 12, haltpost najik")</f>
        <v>Nepalgunj, muktpur 12, haltpost najik</v>
      </c>
      <c r="F21" s="17">
        <f>IFERROR(__xludf.DUMMYFUNCTION("""COMPUTED_VALUE"""),9.745506225E9)</f>
        <v>9745506225</v>
      </c>
      <c r="G21" s="22">
        <f>IFERROR(__xludf.DUMMYFUNCTION("""COMPUTED_VALUE"""),600.0)</f>
        <v>600</v>
      </c>
      <c r="H21" s="22">
        <f>IFERROR(__xludf.DUMMYFUNCTION("""COMPUTED_VALUE"""),1600.0)</f>
        <v>1600</v>
      </c>
      <c r="I21" s="22">
        <f>IFERROR(__xludf.DUMMYFUNCTION("""COMPUTED_VALUE"""),213.0)</f>
        <v>213</v>
      </c>
      <c r="J21" s="17" t="str">
        <f>IFERROR(__xludf.DUMMYFUNCTION("""COMPUTED_VALUE"""),"Delivered")</f>
        <v>Delivered</v>
      </c>
      <c r="K21" s="18">
        <f>IFERROR(__xludf.DUMMYFUNCTION("""COMPUTED_VALUE"""),45889.45898148148)</f>
        <v>45889.45898</v>
      </c>
      <c r="L21" s="17" t="str">
        <f>IFERROR(__xludf.DUMMYFUNCTION("IFS(
  OR(REGEXMATCH(LOWER(E21), ""sirutar|sundarijal|sitapaila|duwakot|tikathali|bhaktapur|lalitpur|kathmandu|ktm|changunarayan|bageswari|ghalate|tinkune|balkot|tikathali""), REGEXMATCH(LOWER(E21), ""inside valley"")), ""Inside Valley"",
  REGEXMATCH(LOW"&amp;"ER(E21), ""dharan|pokhara|biratnagar|birgunj|narayanghat|itahari|hetauda|janakpur|madi""), ""Tier 1"",
  REGEXMATCH(LOWER(E21), ""nepalgunj|butwal|birtamod|dhangadhi|ghorahi|beni|kushma|waling|haldibari|dulegauda|baitadi|bhadrapur|syangja|parbat|myagdi|da"&amp;"ng|nuwakot|jhapa""), ""Tier 2"",
  TRUE, ""Tier 3""
)"),"Tier 2")</f>
        <v>Tier 2</v>
      </c>
      <c r="M21" s="20" t="s">
        <v>498</v>
      </c>
    </row>
    <row r="22">
      <c r="B22" s="18">
        <f>IFERROR(__xludf.DUMMYFUNCTION("""COMPUTED_VALUE"""),45888.17445601852)</f>
        <v>45888.17446</v>
      </c>
      <c r="C22" s="17" t="str">
        <f>IFERROR(__xludf.DUMMYFUNCTION("""COMPUTED_VALUE"""),"Martin single 42")</f>
        <v>Martin single 42</v>
      </c>
      <c r="D22" s="17" t="str">
        <f>IFERROR(__xludf.DUMMYFUNCTION("""COMPUTED_VALUE"""),"Shree krishna")</f>
        <v>Shree krishna</v>
      </c>
      <c r="E22" s="17" t="str">
        <f>IFERROR(__xludf.DUMMYFUNCTION("""COMPUTED_VALUE"""),"Ghalate, bhaktapur")</f>
        <v>Ghalate, bhaktapur</v>
      </c>
      <c r="F22" s="17">
        <f>IFERROR(__xludf.DUMMYFUNCTION("""COMPUTED_VALUE"""),9.765007077E9)</f>
        <v>9765007077</v>
      </c>
      <c r="G22" s="22">
        <f>IFERROR(__xludf.DUMMYFUNCTION("""COMPUTED_VALUE"""),400.0)</f>
        <v>400</v>
      </c>
      <c r="H22" s="22">
        <f>IFERROR(__xludf.DUMMYFUNCTION("""COMPUTED_VALUE"""),1300.0)</f>
        <v>1300</v>
      </c>
      <c r="I22" s="22">
        <f>IFERROR(__xludf.DUMMYFUNCTION("""COMPUTED_VALUE"""),102.25)</f>
        <v>102.25</v>
      </c>
      <c r="J22" s="17" t="str">
        <f>IFERROR(__xludf.DUMMYFUNCTION("""COMPUTED_VALUE"""),"Delivered")</f>
        <v>Delivered</v>
      </c>
      <c r="K22" s="18">
        <f>IFERROR(__xludf.DUMMYFUNCTION("""COMPUTED_VALUE"""),45889.2105787037)</f>
        <v>45889.21058</v>
      </c>
      <c r="L22" s="17" t="str">
        <f>IFERROR(__xludf.DUMMYFUNCTION("IFS(
  OR(REGEXMATCH(LOWER(E22), ""sirutar|sundarijal|sitapaila|duwakot|tikathali|bhaktapur|lalitpur|kathmandu|ktm|changunarayan|bageswari|ghalate|tinkune|balkot|tikathali""), REGEXMATCH(LOWER(E22), ""inside valley"")), ""Inside Valley"",
  REGEXMATCH(LOW"&amp;"ER(E22), ""dharan|pokhara|biratnagar|birgunj|narayanghat|itahari|hetauda|janakpur|madi""), ""Tier 1"",
  REGEXMATCH(LOWER(E22), ""nepalgunj|butwal|birtamod|dhangadhi|ghorahi|beni|kushma|waling|haldibari|dulegauda|baitadi|bhadrapur|syangja|parbat|myagdi|da"&amp;"ng|nuwakot|jhapa""), ""Tier 2"",
  TRUE, ""Tier 3""
)"),"Inside Valley")</f>
        <v>Inside Valley</v>
      </c>
      <c r="M22" s="20" t="s">
        <v>479</v>
      </c>
    </row>
    <row r="23">
      <c r="B23" s="18">
        <f>IFERROR(__xludf.DUMMYFUNCTION("""COMPUTED_VALUE"""),45887.16681712963)</f>
        <v>45887.16682</v>
      </c>
      <c r="C23" s="17" t="str">
        <f>IFERROR(__xludf.DUMMYFUNCTION("""COMPUTED_VALUE"""),"Martin triple sole size 40")</f>
        <v>Martin triple sole size 40</v>
      </c>
      <c r="D23" s="17" t="str">
        <f>IFERROR(__xludf.DUMMYFUNCTION("""COMPUTED_VALUE"""),"Aashish Gautam")</f>
        <v>Aashish Gautam</v>
      </c>
      <c r="E23" s="17" t="str">
        <f>IFERROR(__xludf.DUMMYFUNCTION("""COMPUTED_VALUE"""),"Baitadi, patan, metallic municipality 7, kanda bazzar")</f>
        <v>Baitadi, patan, metallic municipality 7, kanda bazzar</v>
      </c>
      <c r="F23" s="17">
        <f>IFERROR(__xludf.DUMMYFUNCTION("""COMPUTED_VALUE"""),9.768483761E9)</f>
        <v>9768483761</v>
      </c>
      <c r="G23" s="22">
        <f>IFERROR(__xludf.DUMMYFUNCTION("""COMPUTED_VALUE"""),650.0)</f>
        <v>650</v>
      </c>
      <c r="H23" s="22">
        <f>IFERROR(__xludf.DUMMYFUNCTION("""COMPUTED_VALUE"""),1650.0)</f>
        <v>1650</v>
      </c>
      <c r="I23" s="22">
        <f>IFERROR(__xludf.DUMMYFUNCTION("""COMPUTED_VALUE"""),143.13)</f>
        <v>143.13</v>
      </c>
      <c r="J23" s="17" t="str">
        <f>IFERROR(__xludf.DUMMYFUNCTION("""COMPUTED_VALUE"""),"Delivered")</f>
        <v>Delivered</v>
      </c>
      <c r="K23" s="18">
        <f>IFERROR(__xludf.DUMMYFUNCTION("""COMPUTED_VALUE"""),45891.40899305556)</f>
        <v>45891.40899</v>
      </c>
      <c r="L23" s="17" t="str">
        <f>IFERROR(__xludf.DUMMYFUNCTION("IFS(
  OR(REGEXMATCH(LOWER(E23), ""sirutar|sundarijal|sitapaila|duwakot|tikathali|bhaktapur|lalitpur|kathmandu|ktm|changunarayan|bageswari|ghalate|tinkune|balkot|tikathali""), REGEXMATCH(LOWER(E23), ""inside valley"")), ""Inside Valley"",
  REGEXMATCH(LOW"&amp;"ER(E23), ""dharan|pokhara|biratnagar|birgunj|narayanghat|itahari|hetauda|janakpur|madi""), ""Tier 1"",
  REGEXMATCH(LOWER(E23), ""nepalgunj|butwal|birtamod|dhangadhi|ghorahi|beni|kushma|waling|haldibari|dulegauda|baitadi|bhadrapur|syangja|parbat|myagdi|da"&amp;"ng|nuwakot|jhapa""), ""Tier 2"",
  TRUE, ""Tier 3""
)"),"Tier 2")</f>
        <v>Tier 2</v>
      </c>
      <c r="M23" s="20" t="s">
        <v>479</v>
      </c>
    </row>
    <row r="24">
      <c r="B24" s="18">
        <f>IFERROR(__xludf.DUMMYFUNCTION("""COMPUTED_VALUE"""),45887.16091435185)</f>
        <v>45887.16091</v>
      </c>
      <c r="C24" s="17" t="str">
        <f>IFERROR(__xludf.DUMMYFUNCTION("""COMPUTED_VALUE"""),"Martin 3 sole size 40")</f>
        <v>Martin 3 sole size 40</v>
      </c>
      <c r="D24" s="17" t="str">
        <f>IFERROR(__xludf.DUMMYFUNCTION("""COMPUTED_VALUE"""),"Prince Shrestha")</f>
        <v>Prince Shrestha</v>
      </c>
      <c r="E24" s="17" t="str">
        <f>IFERROR(__xludf.DUMMYFUNCTION("""COMPUTED_VALUE"""),"Beni bazzar ")</f>
        <v>Beni bazzar </v>
      </c>
      <c r="F24" s="17">
        <f>IFERROR(__xludf.DUMMYFUNCTION("""COMPUTED_VALUE"""),9.765610848E9)</f>
        <v>9765610848</v>
      </c>
      <c r="G24" s="22">
        <f>IFERROR(__xludf.DUMMYFUNCTION("""COMPUTED_VALUE"""),650.0)</f>
        <v>650</v>
      </c>
      <c r="H24" s="22">
        <f>IFERROR(__xludf.DUMMYFUNCTION("""COMPUTED_VALUE"""),1650.0)</f>
        <v>1650</v>
      </c>
      <c r="I24" s="22">
        <f>IFERROR(__xludf.DUMMYFUNCTION("""COMPUTED_VALUE"""),183.13)</f>
        <v>183.13</v>
      </c>
      <c r="J24" s="17" t="str">
        <f>IFERROR(__xludf.DUMMYFUNCTION("""COMPUTED_VALUE"""),"Delivered")</f>
        <v>Delivered</v>
      </c>
      <c r="K24" s="18">
        <f>IFERROR(__xludf.DUMMYFUNCTION("""COMPUTED_VALUE"""),45891.24974537037)</f>
        <v>45891.24975</v>
      </c>
      <c r="L24" s="17" t="str">
        <f>IFERROR(__xludf.DUMMYFUNCTION("IFS(
  OR(REGEXMATCH(LOWER(E24), ""sirutar|sundarijal|sitapaila|duwakot|tikathali|bhaktapur|lalitpur|kathmandu|ktm|changunarayan|bageswari|ghalate|tinkune|balkot|tikathali""), REGEXMATCH(LOWER(E24), ""inside valley"")), ""Inside Valley"",
  REGEXMATCH(LOW"&amp;"ER(E24), ""dharan|pokhara|biratnagar|birgunj|narayanghat|itahari|hetauda|janakpur|madi""), ""Tier 1"",
  REGEXMATCH(LOWER(E24), ""nepalgunj|butwal|birtamod|dhangadhi|ghorahi|beni|kushma|waling|haldibari|dulegauda|baitadi|bhadrapur|syangja|parbat|myagdi|da"&amp;"ng|nuwakot|jhapa""), ""Tier 2"",
  TRUE, ""Tier 3""
)"),"Tier 2")</f>
        <v>Tier 2</v>
      </c>
      <c r="M24" s="20" t="s">
        <v>482</v>
      </c>
    </row>
    <row r="25">
      <c r="B25" s="18">
        <f>IFERROR(__xludf.DUMMYFUNCTION("""COMPUTED_VALUE"""),45886.18208333333)</f>
        <v>45886.18208</v>
      </c>
      <c r="C25" s="17" t="str">
        <f>IFERROR(__xludf.DUMMYFUNCTION("""COMPUTED_VALUE"""),"Nike 40 Black white ")</f>
        <v>Nike 40 Black white </v>
      </c>
      <c r="D25" s="17" t="str">
        <f>IFERROR(__xludf.DUMMYFUNCTION("""COMPUTED_VALUE"""),"Siddhartha Gautam")</f>
        <v>Siddhartha Gautam</v>
      </c>
      <c r="E25" s="17" t="str">
        <f>IFERROR(__xludf.DUMMYFUNCTION("""COMPUTED_VALUE"""),"Kathmandu,Balkot big mart, Brihaspati marga")</f>
        <v>Kathmandu,Balkot big mart, Brihaspati marga</v>
      </c>
      <c r="F25" s="17">
        <f>IFERROR(__xludf.DUMMYFUNCTION("""COMPUTED_VALUE"""),9.862541342E9)</f>
        <v>9862541342</v>
      </c>
      <c r="G25" s="22">
        <f>IFERROR(__xludf.DUMMYFUNCTION("""COMPUTED_VALUE"""),300.0)</f>
        <v>300</v>
      </c>
      <c r="H25" s="22">
        <f>IFERROR(__xludf.DUMMYFUNCTION("""COMPUTED_VALUE"""),1300.0)</f>
        <v>1300</v>
      </c>
      <c r="I25" s="22">
        <f>IFERROR(__xludf.DUMMYFUNCTION("""COMPUTED_VALUE"""),3.25)</f>
        <v>3.25</v>
      </c>
      <c r="J25" s="17" t="str">
        <f>IFERROR(__xludf.DUMMYFUNCTION("""COMPUTED_VALUE"""),"Delivered")</f>
        <v>Delivered</v>
      </c>
      <c r="K25" s="18">
        <f>IFERROR(__xludf.DUMMYFUNCTION("""COMPUTED_VALUE"""),45886.49072916667)</f>
        <v>45886.49073</v>
      </c>
      <c r="L25" s="17" t="str">
        <f>IFERROR(__xludf.DUMMYFUNCTION("IFS(
  OR(REGEXMATCH(LOWER(E25), ""sirutar|sundarijal|sitapaila|duwakot|tikathali|bhaktapur|lalitpur|kathmandu|ktm|changunarayan|bageswari|ghalate|tinkune|balkot|tikathali""), REGEXMATCH(LOWER(E25), ""inside valley"")), ""Inside Valley"",
  REGEXMATCH(LOW"&amp;"ER(E25), ""dharan|pokhara|biratnagar|birgunj|narayanghat|itahari|hetauda|janakpur|madi""), ""Tier 1"",
  REGEXMATCH(LOWER(E25), ""nepalgunj|butwal|birtamod|dhangadhi|ghorahi|beni|kushma|waling|haldibari|dulegauda|baitadi|bhadrapur|syangja|parbat|myagdi|da"&amp;"ng|nuwakot|jhapa""), ""Tier 2"",
  TRUE, ""Tier 3""
)"),"Inside Valley")</f>
        <v>Inside Valley</v>
      </c>
      <c r="M25" s="20" t="s">
        <v>479</v>
      </c>
    </row>
    <row r="26">
      <c r="B26" s="18">
        <f>IFERROR(__xludf.DUMMYFUNCTION("""COMPUTED_VALUE"""),45873.199583333335)</f>
        <v>45873.19958</v>
      </c>
      <c r="C26" s="17" t="str">
        <f>IFERROR(__xludf.DUMMYFUNCTION("""COMPUTED_VALUE"""),"Martin naysbasti 3 sole 41")</f>
        <v>Martin naysbasti 3 sole 41</v>
      </c>
      <c r="D26" s="17" t="str">
        <f>IFERROR(__xludf.DUMMYFUNCTION("""COMPUTED_VALUE"""),"Santosh")</f>
        <v>Santosh</v>
      </c>
      <c r="E26" s="17" t="str">
        <f>IFERROR(__xludf.DUMMYFUNCTION("""COMPUTED_VALUE"""),"Dang, ghorahi")</f>
        <v>Dang, ghorahi</v>
      </c>
      <c r="F26" s="17">
        <f>IFERROR(__xludf.DUMMYFUNCTION("""COMPUTED_VALUE"""),9.818118588E9)</f>
        <v>9818118588</v>
      </c>
      <c r="G26" s="22">
        <f>IFERROR(__xludf.DUMMYFUNCTION("""COMPUTED_VALUE"""),550.0)</f>
        <v>550</v>
      </c>
      <c r="H26" s="22">
        <f>IFERROR(__xludf.DUMMYFUNCTION("""COMPUTED_VALUE"""),1550.0)</f>
        <v>1550</v>
      </c>
      <c r="I26" s="22">
        <f>IFERROR(__xludf.DUMMYFUNCTION("""COMPUTED_VALUE"""),182.88)</f>
        <v>182.88</v>
      </c>
      <c r="J26" s="17" t="str">
        <f>IFERROR(__xludf.DUMMYFUNCTION("""COMPUTED_VALUE"""),"Delivered")</f>
        <v>Delivered</v>
      </c>
      <c r="K26" s="18">
        <f>IFERROR(__xludf.DUMMYFUNCTION("""COMPUTED_VALUE"""),45882.43194444444)</f>
        <v>45882.43194</v>
      </c>
      <c r="L26" s="17" t="str">
        <f>IFERROR(__xludf.DUMMYFUNCTION("IFS(
  OR(REGEXMATCH(LOWER(E26), ""sirutar|sundarijal|sitapaila|duwakot|tikathali|bhaktapur|lalitpur|kathmandu|ktm|changunarayan|bageswari|ghalate|tinkune|balkot|tikathali""), REGEXMATCH(LOWER(E26), ""inside valley"")), ""Inside Valley"",
  REGEXMATCH(LOW"&amp;"ER(E26), ""dharan|pokhara|biratnagar|birgunj|narayanghat|itahari|hetauda|janakpur|madi""), ""Tier 1"",
  REGEXMATCH(LOWER(E26), ""nepalgunj|butwal|birtamod|dhangadhi|ghorahi|beni|kushma|waling|haldibari|dulegauda|baitadi|bhadrapur|syangja|parbat|myagdi|da"&amp;"ng|nuwakot|jhapa""), ""Tier 2"",
  TRUE, ""Tier 3""
)"),"Tier 2")</f>
        <v>Tier 2</v>
      </c>
      <c r="M26" s="20" t="s">
        <v>498</v>
      </c>
    </row>
    <row r="27">
      <c r="B27" s="18">
        <f>IFERROR(__xludf.DUMMYFUNCTION("""COMPUTED_VALUE"""),45873.19865740741)</f>
        <v>45873.19866</v>
      </c>
      <c r="C27" s="17" t="str">
        <f>IFERROR(__xludf.DUMMYFUNCTION("""COMPUTED_VALUE"""),"Martin half 2 sole 39")</f>
        <v>Martin half 2 sole 39</v>
      </c>
      <c r="D27" s="17" t="str">
        <f>IFERROR(__xludf.DUMMYFUNCTION("""COMPUTED_VALUE"""),"Sudip Darnal")</f>
        <v>Sudip Darnal</v>
      </c>
      <c r="E27" s="17" t="str">
        <f>IFERROR(__xludf.DUMMYFUNCTION("""COMPUTED_VALUE"""),"Sangwale ward 4, sindhuli")</f>
        <v>Sangwale ward 4, sindhuli</v>
      </c>
      <c r="F27" s="17">
        <f>IFERROR(__xludf.DUMMYFUNCTION("""COMPUTED_VALUE"""),9.766529083E9)</f>
        <v>9766529083</v>
      </c>
      <c r="G27" s="22">
        <f>IFERROR(__xludf.DUMMYFUNCTION("""COMPUTED_VALUE"""),350.0)</f>
        <v>350</v>
      </c>
      <c r="H27" s="22">
        <f>IFERROR(__xludf.DUMMYFUNCTION("""COMPUTED_VALUE"""),1350.0)</f>
        <v>1350</v>
      </c>
      <c r="I27" s="22">
        <f>IFERROR(__xludf.DUMMYFUNCTION("""COMPUTED_VALUE"""),162.38)</f>
        <v>162.38</v>
      </c>
      <c r="J27" s="17" t="str">
        <f>IFERROR(__xludf.DUMMYFUNCTION("""COMPUTED_VALUE"""),"Delivered")</f>
        <v>Delivered</v>
      </c>
      <c r="K27" s="18">
        <f>IFERROR(__xludf.DUMMYFUNCTION("""COMPUTED_VALUE"""),45877.46166666667)</f>
        <v>45877.46167</v>
      </c>
      <c r="L27" s="17" t="str">
        <f>IFERROR(__xludf.DUMMYFUNCTION("IFS(
  OR(REGEXMATCH(LOWER(E27), ""sirutar|sundarijal|sitapaila|duwakot|tikathali|bhaktapur|lalitpur|kathmandu|ktm|changunarayan|bageswari|ghalate|tinkune|balkot|tikathali""), REGEXMATCH(LOWER(E27), ""inside valley"")), ""Inside Valley"",
  REGEXMATCH(LOW"&amp;"ER(E27), ""dharan|pokhara|biratnagar|birgunj|narayanghat|itahari|hetauda|janakpur|madi""), ""Tier 1"",
  REGEXMATCH(LOWER(E27), ""nepalgunj|butwal|birtamod|dhangadhi|ghorahi|beni|kushma|waling|haldibari|dulegauda|baitadi|bhadrapur|syangja|parbat|myagdi|da"&amp;"ng|nuwakot|jhapa""), ""Tier 2"",
  TRUE, ""Tier 3""
)"),"Tier 3")</f>
        <v>Tier 3</v>
      </c>
      <c r="M27" s="20" t="s">
        <v>479</v>
      </c>
    </row>
    <row r="28">
      <c r="B28" s="18">
        <f>IFERROR(__xludf.DUMMYFUNCTION("""COMPUTED_VALUE"""),45872.17322916667)</f>
        <v>45872.17323</v>
      </c>
      <c r="C28" s="17" t="str">
        <f>IFERROR(__xludf.DUMMYFUNCTION("""COMPUTED_VALUE"""),"Sr smile 41")</f>
        <v>Sr smile 41</v>
      </c>
      <c r="D28" s="17" t="str">
        <f>IFERROR(__xludf.DUMMYFUNCTION("""COMPUTED_VALUE"""),"Bibash Thapa")</f>
        <v>Bibash Thapa</v>
      </c>
      <c r="E28" s="17" t="str">
        <f>IFERROR(__xludf.DUMMYFUNCTION("""COMPUTED_VALUE"""),"Gulariya 6, bardiya")</f>
        <v>Gulariya 6, bardiya</v>
      </c>
      <c r="F28" s="17">
        <f>IFERROR(__xludf.DUMMYFUNCTION("""COMPUTED_VALUE"""),9.816523777E9)</f>
        <v>9816523777</v>
      </c>
      <c r="G28" s="22">
        <f>IFERROR(__xludf.DUMMYFUNCTION("""COMPUTED_VALUE"""),450.0)</f>
        <v>450</v>
      </c>
      <c r="H28" s="22">
        <f>IFERROR(__xludf.DUMMYFUNCTION("""COMPUTED_VALUE"""),1450.0)</f>
        <v>1450</v>
      </c>
      <c r="I28" s="22">
        <f>IFERROR(__xludf.DUMMYFUNCTION("""COMPUTED_VALUE"""),182.63)</f>
        <v>182.63</v>
      </c>
      <c r="J28" s="17" t="str">
        <f>IFERROR(__xludf.DUMMYFUNCTION("""COMPUTED_VALUE"""),"Delivered")</f>
        <v>Delivered</v>
      </c>
      <c r="K28" s="18">
        <f>IFERROR(__xludf.DUMMYFUNCTION("""COMPUTED_VALUE"""),45873.35476851852)</f>
        <v>45873.35477</v>
      </c>
      <c r="L28" s="17" t="str">
        <f>IFERROR(__xludf.DUMMYFUNCTION("IFS(
  OR(REGEXMATCH(LOWER(E28), ""sirutar|sundarijal|sitapaila|duwakot|tikathali|bhaktapur|lalitpur|kathmandu|ktm|changunarayan|bageswari|ghalate|tinkune|balkot|tikathali""), REGEXMATCH(LOWER(E28), ""inside valley"")), ""Inside Valley"",
  REGEXMATCH(LOW"&amp;"ER(E28), ""dharan|pokhara|biratnagar|birgunj|narayanghat|itahari|hetauda|janakpur|madi""), ""Tier 1"",
  REGEXMATCH(LOWER(E28), ""nepalgunj|butwal|birtamod|dhangadhi|ghorahi|beni|kushma|waling|haldibari|dulegauda|baitadi|bhadrapur|syangja|parbat|myagdi|da"&amp;"ng|nuwakot|jhapa""), ""Tier 2"",
  TRUE, ""Tier 3""
)"),"Tier 3")</f>
        <v>Tier 3</v>
      </c>
      <c r="M28" s="20" t="s">
        <v>498</v>
      </c>
    </row>
    <row r="29">
      <c r="B29" s="18">
        <f>IFERROR(__xludf.DUMMYFUNCTION("""COMPUTED_VALUE"""),45872.17152777778)</f>
        <v>45872.17153</v>
      </c>
      <c r="C29" s="17" t="str">
        <f>IFERROR(__xludf.DUMMYFUNCTION("""COMPUTED_VALUE"""),"Martin nayabasti factory 40")</f>
        <v>Martin nayabasti factory 40</v>
      </c>
      <c r="D29" s="17" t="str">
        <f>IFERROR(__xludf.DUMMYFUNCTION("""COMPUTED_VALUE"""),"Nischal Tamang")</f>
        <v>Nischal Tamang</v>
      </c>
      <c r="E29" s="17" t="str">
        <f>IFERROR(__xludf.DUMMYFUNCTION("""COMPUTED_VALUE"""),"Dingla, bhojpur")</f>
        <v>Dingla, bhojpur</v>
      </c>
      <c r="F29" s="17">
        <f>IFERROR(__xludf.DUMMYFUNCTION("""COMPUTED_VALUE"""),9.820330404E9)</f>
        <v>9820330404</v>
      </c>
      <c r="G29" s="22">
        <f>IFERROR(__xludf.DUMMYFUNCTION("""COMPUTED_VALUE"""),550.0)</f>
        <v>550</v>
      </c>
      <c r="H29" s="22">
        <f>IFERROR(__xludf.DUMMYFUNCTION("""COMPUTED_VALUE"""),1550.0)</f>
        <v>1550</v>
      </c>
      <c r="I29" s="22">
        <f>IFERROR(__xludf.DUMMYFUNCTION("""COMPUTED_VALUE"""),212.88)</f>
        <v>212.88</v>
      </c>
      <c r="J29" s="17" t="str">
        <f>IFERROR(__xludf.DUMMYFUNCTION("""COMPUTED_VALUE"""),"Delivered")</f>
        <v>Delivered</v>
      </c>
      <c r="K29" s="18">
        <f>IFERROR(__xludf.DUMMYFUNCTION("""COMPUTED_VALUE"""),45875.59798611111)</f>
        <v>45875.59799</v>
      </c>
      <c r="L29" s="17" t="str">
        <f>IFERROR(__xludf.DUMMYFUNCTION("IFS(
  OR(REGEXMATCH(LOWER(E29), ""sirutar|sundarijal|sitapaila|duwakot|tikathali|bhaktapur|lalitpur|kathmandu|ktm|changunarayan|bageswari|ghalate|tinkune|balkot|tikathali""), REGEXMATCH(LOWER(E29), ""inside valley"")), ""Inside Valley"",
  REGEXMATCH(LOW"&amp;"ER(E29), ""dharan|pokhara|biratnagar|birgunj|narayanghat|itahari|hetauda|janakpur|madi""), ""Tier 1"",
  REGEXMATCH(LOWER(E29), ""nepalgunj|butwal|birtamod|dhangadhi|ghorahi|beni|kushma|waling|haldibari|dulegauda|baitadi|bhadrapur|syangja|parbat|myagdi|da"&amp;"ng|nuwakot|jhapa""), ""Tier 2"",
  TRUE, ""Tier 3""
)"),"Tier 3")</f>
        <v>Tier 3</v>
      </c>
      <c r="M29" s="20" t="s">
        <v>474</v>
      </c>
    </row>
    <row r="30">
      <c r="B30" s="18">
        <f>IFERROR(__xludf.DUMMYFUNCTION("""COMPUTED_VALUE"""),45872.17049768519)</f>
        <v>45872.1705</v>
      </c>
      <c r="C30" s="17" t="str">
        <f>IFERROR(__xludf.DUMMYFUNCTION("""COMPUTED_VALUE"""),"Martin single sole 42")</f>
        <v>Martin single sole 42</v>
      </c>
      <c r="D30" s="17" t="str">
        <f>IFERROR(__xludf.DUMMYFUNCTION("""COMPUTED_VALUE"""),"Rohan Bam")</f>
        <v>Rohan Bam</v>
      </c>
      <c r="E30" s="17" t="str">
        <f>IFERROR(__xludf.DUMMYFUNCTION("""COMPUTED_VALUE"""),"Bardageriya gaupalika, ward no 2, kumbiya, kailali")</f>
        <v>Bardageriya gaupalika, ward no 2, kumbiya, kailali</v>
      </c>
      <c r="F30" s="17">
        <f>IFERROR(__xludf.DUMMYFUNCTION("""COMPUTED_VALUE"""),9.815663088E9)</f>
        <v>9815663088</v>
      </c>
      <c r="G30" s="22">
        <f>IFERROR(__xludf.DUMMYFUNCTION("""COMPUTED_VALUE"""),350.0)</f>
        <v>350</v>
      </c>
      <c r="H30" s="22">
        <f>IFERROR(__xludf.DUMMYFUNCTION("""COMPUTED_VALUE"""),1350.0)</f>
        <v>1350</v>
      </c>
      <c r="I30" s="22">
        <f>IFERROR(__xludf.DUMMYFUNCTION("""COMPUTED_VALUE"""),182.38)</f>
        <v>182.38</v>
      </c>
      <c r="J30" s="17" t="str">
        <f>IFERROR(__xludf.DUMMYFUNCTION("""COMPUTED_VALUE"""),"Delivered")</f>
        <v>Delivered</v>
      </c>
      <c r="K30" s="18">
        <f>IFERROR(__xludf.DUMMYFUNCTION("""COMPUTED_VALUE"""),45877.282442129625)</f>
        <v>45877.28244</v>
      </c>
      <c r="L30" s="17" t="str">
        <f>IFERROR(__xludf.DUMMYFUNCTION("IFS(
  OR(REGEXMATCH(LOWER(E30), ""sirutar|sundarijal|sitapaila|duwakot|tikathali|bhaktapur|lalitpur|kathmandu|ktm|changunarayan|bageswari|ghalate|tinkune|balkot|tikathali""), REGEXMATCH(LOWER(E30), ""inside valley"")), ""Inside Valley"",
  REGEXMATCH(LOW"&amp;"ER(E30), ""dharan|pokhara|biratnagar|birgunj|narayanghat|itahari|hetauda|janakpur|madi""), ""Tier 1"",
  REGEXMATCH(LOWER(E30), ""nepalgunj|butwal|birtamod|dhangadhi|ghorahi|beni|kushma|waling|haldibari|dulegauda|baitadi|bhadrapur|syangja|parbat|myagdi|da"&amp;"ng|nuwakot|jhapa""), ""Tier 2"",
  TRUE, ""Tier 3""
)"),"Tier 3")</f>
        <v>Tier 3</v>
      </c>
      <c r="M30" s="20" t="s">
        <v>492</v>
      </c>
    </row>
    <row r="31">
      <c r="B31" s="18">
        <f>IFERROR(__xludf.DUMMYFUNCTION("""COMPUTED_VALUE"""),45869.2041087963)</f>
        <v>45869.20411</v>
      </c>
      <c r="C31" s="17" t="str">
        <f>IFERROR(__xludf.DUMMYFUNCTION("""COMPUTED_VALUE"""),"Martin single sole 41")</f>
        <v>Martin single sole 41</v>
      </c>
      <c r="D31" s="17" t="str">
        <f>IFERROR(__xludf.DUMMYFUNCTION("""COMPUTED_VALUE"""),"Santosh Pariyar")</f>
        <v>Santosh Pariyar</v>
      </c>
      <c r="E31" s="17" t="str">
        <f>IFERROR(__xludf.DUMMYFUNCTION("""COMPUTED_VALUE"""),"Gogli chowk, dang")</f>
        <v>Gogli chowk, dang</v>
      </c>
      <c r="F31" s="17">
        <f>IFERROR(__xludf.DUMMYFUNCTION("""COMPUTED_VALUE"""),9.706877325E9)</f>
        <v>9706877325</v>
      </c>
      <c r="G31" s="22">
        <f>IFERROR(__xludf.DUMMYFUNCTION("""COMPUTED_VALUE"""),350.0)</f>
        <v>350</v>
      </c>
      <c r="H31" s="22">
        <f>IFERROR(__xludf.DUMMYFUNCTION("""COMPUTED_VALUE"""),1350.0)</f>
        <v>1350</v>
      </c>
      <c r="I31" s="22">
        <f>IFERROR(__xludf.DUMMYFUNCTION("""COMPUTED_VALUE"""),182.38)</f>
        <v>182.38</v>
      </c>
      <c r="J31" s="17" t="str">
        <f>IFERROR(__xludf.DUMMYFUNCTION("""COMPUTED_VALUE"""),"Delivered")</f>
        <v>Delivered</v>
      </c>
      <c r="K31" s="18">
        <f>IFERROR(__xludf.DUMMYFUNCTION("""COMPUTED_VALUE"""),45872.361342592594)</f>
        <v>45872.36134</v>
      </c>
      <c r="L31" s="17" t="str">
        <f>IFERROR(__xludf.DUMMYFUNCTION("IFS(
  OR(REGEXMATCH(LOWER(E31), ""sirutar|sundarijal|sitapaila|duwakot|tikathali|bhaktapur|lalitpur|kathmandu|ktm|changunarayan|bageswari|ghalate|tinkune|balkot|tikathali""), REGEXMATCH(LOWER(E31), ""inside valley"")), ""Inside Valley"",
  REGEXMATCH(LOW"&amp;"ER(E31), ""dharan|pokhara|biratnagar|birgunj|narayanghat|itahari|hetauda|janakpur|madi""), ""Tier 1"",
  REGEXMATCH(LOWER(E31), ""nepalgunj|butwal|birtamod|dhangadhi|ghorahi|beni|kushma|waling|haldibari|dulegauda|baitadi|bhadrapur|syangja|parbat|myagdi|da"&amp;"ng|nuwakot|jhapa""), ""Tier 2"",
  TRUE, ""Tier 3""
)"),"Tier 2")</f>
        <v>Tier 2</v>
      </c>
      <c r="M31" s="20" t="s">
        <v>498</v>
      </c>
    </row>
    <row r="32">
      <c r="B32" s="18">
        <f>IFERROR(__xludf.DUMMYFUNCTION("""COMPUTED_VALUE"""),45869.20298611111)</f>
        <v>45869.20299</v>
      </c>
      <c r="C32" s="17" t="str">
        <f>IFERROR(__xludf.DUMMYFUNCTION("""COMPUTED_VALUE"""),"Sr gray 42")</f>
        <v>Sr gray 42</v>
      </c>
      <c r="D32" s="17" t="str">
        <f>IFERROR(__xludf.DUMMYFUNCTION("""COMPUTED_VALUE"""),"Subarth Kunwar")</f>
        <v>Subarth Kunwar</v>
      </c>
      <c r="E32" s="17" t="str">
        <f>IFERROR(__xludf.DUMMYFUNCTION("""COMPUTED_VALUE"""),"Baneshwor soa and swimming pool or ananda events and meeting")</f>
        <v>Baneshwor soa and swimming pool or ananda events and meeting</v>
      </c>
      <c r="F32" s="17">
        <f>IFERROR(__xludf.DUMMYFUNCTION("""COMPUTED_VALUE"""),9.763313182E9)</f>
        <v>9763313182</v>
      </c>
      <c r="G32" s="22">
        <f>IFERROR(__xludf.DUMMYFUNCTION("""COMPUTED_VALUE"""),400.0)</f>
        <v>400</v>
      </c>
      <c r="H32" s="22">
        <f>IFERROR(__xludf.DUMMYFUNCTION("""COMPUTED_VALUE"""),1400.0)</f>
        <v>1400</v>
      </c>
      <c r="I32" s="22">
        <f>IFERROR(__xludf.DUMMYFUNCTION("""COMPUTED_VALUE"""),102.5)</f>
        <v>102.5</v>
      </c>
      <c r="J32" s="17" t="str">
        <f>IFERROR(__xludf.DUMMYFUNCTION("""COMPUTED_VALUE"""),"Delivered")</f>
        <v>Delivered</v>
      </c>
      <c r="K32" s="18">
        <f>IFERROR(__xludf.DUMMYFUNCTION("""COMPUTED_VALUE"""),45869.45903935185)</f>
        <v>45869.45904</v>
      </c>
      <c r="L32" s="17" t="str">
        <f>IFERROR(__xludf.DUMMYFUNCTION("IFS(
  OR(REGEXMATCH(LOWER(E32), ""sirutar|sundarijal|sitapaila|duwakot|tikathali|bhaktapur|lalitpur|kathmandu|ktm|changunarayan|bageswari|ghalate|tinkune|balkot|tikathali""), REGEXMATCH(LOWER(E32), ""inside valley"")), ""Inside Valley"",
  REGEXMATCH(LOW"&amp;"ER(E32), ""dharan|pokhara|biratnagar|birgunj|narayanghat|itahari|hetauda|janakpur|madi""), ""Tier 1"",
  REGEXMATCH(LOWER(E32), ""nepalgunj|butwal|birtamod|dhangadhi|ghorahi|beni|kushma|waling|haldibari|dulegauda|baitadi|bhadrapur|syangja|parbat|myagdi|da"&amp;"ng|nuwakot|jhapa""), ""Tier 2"",
  TRUE, ""Tier 3""
)"),"Tier 3")</f>
        <v>Tier 3</v>
      </c>
      <c r="M32" s="20" t="s">
        <v>479</v>
      </c>
    </row>
    <row r="33">
      <c r="B33" s="18">
        <f>IFERROR(__xludf.DUMMYFUNCTION("""COMPUTED_VALUE"""),45867.21146990741)</f>
        <v>45867.21147</v>
      </c>
      <c r="C33" s="17" t="str">
        <f>IFERROR(__xludf.DUMMYFUNCTION("""COMPUTED_VALUE"""),"Nie 11 red and black")</f>
        <v>Nie 11 red and black</v>
      </c>
      <c r="D33" s="17" t="str">
        <f>IFERROR(__xludf.DUMMYFUNCTION("""COMPUTED_VALUE"""),"Raj Thegim Limbu")</f>
        <v>Raj Thegim Limbu</v>
      </c>
      <c r="E33" s="17" t="str">
        <f>IFERROR(__xludf.DUMMYFUNCTION("""COMPUTED_VALUE"""),"Jalthal, jhapa")</f>
        <v>Jalthal, jhapa</v>
      </c>
      <c r="F33" s="17">
        <f>IFERROR(__xludf.DUMMYFUNCTION("""COMPUTED_VALUE"""),9.814977789E9)</f>
        <v>9814977789</v>
      </c>
      <c r="G33" s="22">
        <f>IFERROR(__xludf.DUMMYFUNCTION("""COMPUTED_VALUE"""),700.0)</f>
        <v>700</v>
      </c>
      <c r="H33" s="22">
        <f>IFERROR(__xludf.DUMMYFUNCTION("""COMPUTED_VALUE"""),2500.0)</f>
        <v>2500</v>
      </c>
      <c r="I33" s="22">
        <f>IFERROR(__xludf.DUMMYFUNCTION("""COMPUTED_VALUE"""),185.25)</f>
        <v>185.25</v>
      </c>
      <c r="J33" s="17" t="str">
        <f>IFERROR(__xludf.DUMMYFUNCTION("""COMPUTED_VALUE"""),"Delivered")</f>
        <v>Delivered</v>
      </c>
      <c r="K33" s="18">
        <f>IFERROR(__xludf.DUMMYFUNCTION("""COMPUTED_VALUE"""),45870.19578703704)</f>
        <v>45870.19579</v>
      </c>
      <c r="L33" s="17" t="str">
        <f>IFERROR(__xludf.DUMMYFUNCTION("IFS(
  OR(REGEXMATCH(LOWER(E33), ""sirutar|sundarijal|sitapaila|duwakot|tikathali|bhaktapur|lalitpur|kathmandu|ktm|changunarayan|bageswari|ghalate|tinkune|balkot|tikathali""), REGEXMATCH(LOWER(E33), ""inside valley"")), ""Inside Valley"",
  REGEXMATCH(LOW"&amp;"ER(E33), ""dharan|pokhara|biratnagar|birgunj|narayanghat|itahari|hetauda|janakpur|madi""), ""Tier 1"",
  REGEXMATCH(LOWER(E33), ""nepalgunj|butwal|birtamod|dhangadhi|ghorahi|beni|kushma|waling|haldibari|dulegauda|baitadi|bhadrapur|syangja|parbat|myagdi|da"&amp;"ng|nuwakot|jhapa""), ""Tier 2"",
  TRUE, ""Tier 3""
)"),"Tier 2")</f>
        <v>Tier 2</v>
      </c>
      <c r="M33" s="20" t="s">
        <v>474</v>
      </c>
    </row>
    <row r="34">
      <c r="B34" s="18">
        <f>IFERROR(__xludf.DUMMYFUNCTION("""COMPUTED_VALUE"""),45867.20958333333)</f>
        <v>45867.20958</v>
      </c>
      <c r="C34" s="17" t="str">
        <f>IFERROR(__xludf.DUMMYFUNCTION("""COMPUTED_VALUE"""),"White Nike 37")</f>
        <v>White Nike 37</v>
      </c>
      <c r="D34" s="17" t="str">
        <f>IFERROR(__xludf.DUMMYFUNCTION("""COMPUTED_VALUE"""),"Gaurav Jaiswal")</f>
        <v>Gaurav Jaiswal</v>
      </c>
      <c r="E34" s="17" t="str">
        <f>IFERROR(__xludf.DUMMYFUNCTION("""COMPUTED_VALUE"""),"Nepalgunj, dhamboji chowk siddhartha Bank najik")</f>
        <v>Nepalgunj, dhamboji chowk siddhartha Bank najik</v>
      </c>
      <c r="F34" s="17">
        <f>IFERROR(__xludf.DUMMYFUNCTION("""COMPUTED_VALUE"""),9.762065388E9)</f>
        <v>9762065388</v>
      </c>
      <c r="G34" s="22">
        <f>IFERROR(__xludf.DUMMYFUNCTION("""COMPUTED_VALUE"""),350.0)</f>
        <v>350</v>
      </c>
      <c r="H34" s="22">
        <f>IFERROR(__xludf.DUMMYFUNCTION("""COMPUTED_VALUE"""),1350.0)</f>
        <v>1350</v>
      </c>
      <c r="I34" s="22">
        <f>IFERROR(__xludf.DUMMYFUNCTION("""COMPUTED_VALUE"""),212.38)</f>
        <v>212.38</v>
      </c>
      <c r="J34" s="17" t="str">
        <f>IFERROR(__xludf.DUMMYFUNCTION("""COMPUTED_VALUE"""),"Delivered")</f>
        <v>Delivered</v>
      </c>
      <c r="K34" s="18">
        <f>IFERROR(__xludf.DUMMYFUNCTION("""COMPUTED_VALUE"""),45872.44072916667)</f>
        <v>45872.44073</v>
      </c>
      <c r="L34" s="17" t="str">
        <f>IFERROR(__xludf.DUMMYFUNCTION("IFS(
  OR(REGEXMATCH(LOWER(E34), ""sirutar|sundarijal|sitapaila|duwakot|tikathali|bhaktapur|lalitpur|kathmandu|ktm|changunarayan|bageswari|ghalate|tinkune|balkot|tikathali""), REGEXMATCH(LOWER(E34), ""inside valley"")), ""Inside Valley"",
  REGEXMATCH(LOW"&amp;"ER(E34), ""dharan|pokhara|biratnagar|birgunj|narayanghat|itahari|hetauda|janakpur|madi""), ""Tier 1"",
  REGEXMATCH(LOWER(E34), ""nepalgunj|butwal|birtamod|dhangadhi|ghorahi|beni|kushma|waling|haldibari|dulegauda|baitadi|bhadrapur|syangja|parbat|myagdi|da"&amp;"ng|nuwakot|jhapa""), ""Tier 2"",
  TRUE, ""Tier 3""
)"),"Tier 2")</f>
        <v>Tier 2</v>
      </c>
      <c r="M34" s="20" t="s">
        <v>498</v>
      </c>
    </row>
    <row r="35">
      <c r="B35" s="18">
        <f>IFERROR(__xludf.DUMMYFUNCTION("""COMPUTED_VALUE"""),45865.19533564815)</f>
        <v>45865.19534</v>
      </c>
      <c r="C35" s="17" t="str">
        <f>IFERROR(__xludf.DUMMYFUNCTION("""COMPUTED_VALUE"""),"Martin 3 sole size 39")</f>
        <v>Martin 3 sole size 39</v>
      </c>
      <c r="D35" s="17" t="str">
        <f>IFERROR(__xludf.DUMMYFUNCTION("""COMPUTED_VALUE"""),"Manoj")</f>
        <v>Manoj</v>
      </c>
      <c r="E35" s="17" t="str">
        <f>IFERROR(__xludf.DUMMYFUNCTION("""COMPUTED_VALUE"""),"Ktm, sundarijal dobato chowk")</f>
        <v>Ktm, sundarijal dobato chowk</v>
      </c>
      <c r="F35" s="17">
        <f>IFERROR(__xludf.DUMMYFUNCTION("""COMPUTED_VALUE"""),9.768966994E9)</f>
        <v>9768966994</v>
      </c>
      <c r="G35" s="22">
        <f>IFERROR(__xludf.DUMMYFUNCTION("""COMPUTED_VALUE"""),500.0)</f>
        <v>500</v>
      </c>
      <c r="H35" s="22">
        <f>IFERROR(__xludf.DUMMYFUNCTION("""COMPUTED_VALUE"""),1500.0)</f>
        <v>1500</v>
      </c>
      <c r="I35" s="22">
        <f>IFERROR(__xludf.DUMMYFUNCTION("""COMPUTED_VALUE"""),102.75)</f>
        <v>102.75</v>
      </c>
      <c r="J35" s="17" t="str">
        <f>IFERROR(__xludf.DUMMYFUNCTION("""COMPUTED_VALUE"""),"Delivered")</f>
        <v>Delivered</v>
      </c>
      <c r="K35" s="18">
        <f>IFERROR(__xludf.DUMMYFUNCTION("""COMPUTED_VALUE"""),45867.2159837963)</f>
        <v>45867.21598</v>
      </c>
      <c r="L35" s="17" t="str">
        <f>IFERROR(__xludf.DUMMYFUNCTION("IFS(
  OR(REGEXMATCH(LOWER(E35), ""sirutar|sundarijal|sitapaila|duwakot|tikathali|bhaktapur|lalitpur|kathmandu|ktm|changunarayan|bageswari|ghalate|tinkune|balkot|tikathali""), REGEXMATCH(LOWER(E35), ""inside valley"")), ""Inside Valley"",
  REGEXMATCH(LOW"&amp;"ER(E35), ""dharan|pokhara|biratnagar|birgunj|narayanghat|itahari|hetauda|janakpur|madi""), ""Tier 1"",
  REGEXMATCH(LOWER(E35), ""nepalgunj|butwal|birtamod|dhangadhi|ghorahi|beni|kushma|waling|haldibari|dulegauda|baitadi|bhadrapur|syangja|parbat|myagdi|da"&amp;"ng|nuwakot|jhapa""), ""Tier 2"",
  TRUE, ""Tier 3""
)"),"Inside Valley")</f>
        <v>Inside Valley</v>
      </c>
      <c r="M35" s="20" t="s">
        <v>479</v>
      </c>
    </row>
    <row r="36">
      <c r="B36" s="18">
        <f>IFERROR(__xludf.DUMMYFUNCTION("""COMPUTED_VALUE"""),45865.183171296296)</f>
        <v>45865.18317</v>
      </c>
      <c r="C36" s="17" t="str">
        <f>IFERROR(__xludf.DUMMYFUNCTION("""COMPUTED_VALUE"""),"Chelsea size 41")</f>
        <v>Chelsea size 41</v>
      </c>
      <c r="D36" s="17" t="str">
        <f>IFERROR(__xludf.DUMMYFUNCTION("""COMPUTED_VALUE"""),"Sudesh Shrestha")</f>
        <v>Sudesh Shrestha</v>
      </c>
      <c r="E36" s="17" t="str">
        <f>IFERROR(__xludf.DUMMYFUNCTION("""COMPUTED_VALUE"""),"Sundar haraicha 12, biratchowk Road no 12")</f>
        <v>Sundar haraicha 12, biratchowk Road no 12</v>
      </c>
      <c r="F36" s="17">
        <f>IFERROR(__xludf.DUMMYFUNCTION("""COMPUTED_VALUE"""),9.862232928E9)</f>
        <v>9862232928</v>
      </c>
      <c r="G36" s="22">
        <f>IFERROR(__xludf.DUMMYFUNCTION("""COMPUTED_VALUE"""),450.0)</f>
        <v>450</v>
      </c>
      <c r="H36" s="22">
        <f>IFERROR(__xludf.DUMMYFUNCTION("""COMPUTED_VALUE"""),1350.0)</f>
        <v>1350</v>
      </c>
      <c r="I36" s="22">
        <f>IFERROR(__xludf.DUMMYFUNCTION("""COMPUTED_VALUE"""),162.38)</f>
        <v>162.38</v>
      </c>
      <c r="J36" s="17" t="str">
        <f>IFERROR(__xludf.DUMMYFUNCTION("""COMPUTED_VALUE"""),"Delivered")</f>
        <v>Delivered</v>
      </c>
      <c r="K36" s="18">
        <f>IFERROR(__xludf.DUMMYFUNCTION("""COMPUTED_VALUE"""),45867.38013888889)</f>
        <v>45867.38014</v>
      </c>
      <c r="L36" s="17" t="str">
        <f>IFERROR(__xludf.DUMMYFUNCTION("IFS(
  OR(REGEXMATCH(LOWER(E36), ""sirutar|sundarijal|sitapaila|duwakot|tikathali|bhaktapur|lalitpur|kathmandu|ktm|changunarayan|bageswari|ghalate|tinkune|balkot|tikathali""), REGEXMATCH(LOWER(E36), ""inside valley"")), ""Inside Valley"",
  REGEXMATCH(LOW"&amp;"ER(E36), ""dharan|pokhara|biratnagar|birgunj|narayanghat|itahari|hetauda|janakpur|madi""), ""Tier 1"",
  REGEXMATCH(LOWER(E36), ""nepalgunj|butwal|birtamod|dhangadhi|ghorahi|beni|kushma|waling|haldibari|dulegauda|baitadi|bhadrapur|syangja|parbat|myagdi|da"&amp;"ng|nuwakot|jhapa""), ""Tier 2"",
  TRUE, ""Tier 3""
)"),"Tier 3")</f>
        <v>Tier 3</v>
      </c>
      <c r="M36" s="20" t="s">
        <v>474</v>
      </c>
    </row>
    <row r="37">
      <c r="B37" s="18">
        <f>IFERROR(__xludf.DUMMYFUNCTION("""COMPUTED_VALUE"""),45865.18116898148)</f>
        <v>45865.18117</v>
      </c>
      <c r="C37" s="17" t="str">
        <f>IFERROR(__xludf.DUMMYFUNCTION("""COMPUTED_VALUE"""),"Sb dunk 41")</f>
        <v>Sb dunk 41</v>
      </c>
      <c r="D37" s="17" t="str">
        <f>IFERROR(__xludf.DUMMYFUNCTION("""COMPUTED_VALUE"""),"Sijan Shrestha")</f>
        <v>Sijan Shrestha</v>
      </c>
      <c r="E37" s="17" t="str">
        <f>IFERROR(__xludf.DUMMYFUNCTION("""COMPUTED_VALUE"""),"Beni, myagdi")</f>
        <v>Beni, myagdi</v>
      </c>
      <c r="F37" s="17">
        <f>IFERROR(__xludf.DUMMYFUNCTION("""COMPUTED_VALUE"""),9.84764997E9)</f>
        <v>9847649970</v>
      </c>
      <c r="G37" s="22">
        <f>IFERROR(__xludf.DUMMYFUNCTION("""COMPUTED_VALUE"""),400.0)</f>
        <v>400</v>
      </c>
      <c r="H37" s="22">
        <f>IFERROR(__xludf.DUMMYFUNCTION("""COMPUTED_VALUE"""),1400.0)</f>
        <v>1400</v>
      </c>
      <c r="I37" s="22">
        <f>IFERROR(__xludf.DUMMYFUNCTION("""COMPUTED_VALUE"""),212.5)</f>
        <v>212.5</v>
      </c>
      <c r="J37" s="17" t="str">
        <f>IFERROR(__xludf.DUMMYFUNCTION("""COMPUTED_VALUE"""),"Delivered")</f>
        <v>Delivered</v>
      </c>
      <c r="K37" s="18">
        <f>IFERROR(__xludf.DUMMYFUNCTION("""COMPUTED_VALUE"""),45867.280752314815)</f>
        <v>45867.28075</v>
      </c>
      <c r="L37" s="17" t="str">
        <f>IFERROR(__xludf.DUMMYFUNCTION("IFS(
  OR(REGEXMATCH(LOWER(E37), ""sirutar|sundarijal|sitapaila|duwakot|tikathali|bhaktapur|lalitpur|kathmandu|ktm|changunarayan|bageswari|ghalate|tinkune|balkot|tikathali""), REGEXMATCH(LOWER(E37), ""inside valley"")), ""Inside Valley"",
  REGEXMATCH(LOW"&amp;"ER(E37), ""dharan|pokhara|biratnagar|birgunj|narayanghat|itahari|hetauda|janakpur|madi""), ""Tier 1"",
  REGEXMATCH(LOWER(E37), ""nepalgunj|butwal|birtamod|dhangadhi|ghorahi|beni|kushma|waling|haldibari|dulegauda|baitadi|bhadrapur|syangja|parbat|myagdi|da"&amp;"ng|nuwakot|jhapa""), ""Tier 2"",
  TRUE, ""Tier 3""
)"),"Tier 2")</f>
        <v>Tier 2</v>
      </c>
      <c r="M37" s="20" t="s">
        <v>482</v>
      </c>
    </row>
    <row r="38">
      <c r="B38" s="18">
        <f>IFERROR(__xludf.DUMMYFUNCTION("""COMPUTED_VALUE"""),45865.17979166667)</f>
        <v>45865.17979</v>
      </c>
      <c r="C38" s="17" t="str">
        <f>IFERROR(__xludf.DUMMYFUNCTION("""COMPUTED_VALUE"""),"Red Nike ")</f>
        <v>Red Nike </v>
      </c>
      <c r="D38" s="17" t="str">
        <f>IFERROR(__xludf.DUMMYFUNCTION("""COMPUTED_VALUE"""),"Aayush Panthi")</f>
        <v>Aayush Panthi</v>
      </c>
      <c r="E38" s="17" t="str">
        <f>IFERROR(__xludf.DUMMYFUNCTION("""COMPUTED_VALUE"""),"Butwal, bhakwari 7, lec college side")</f>
        <v>Butwal, bhakwari 7, lec college side</v>
      </c>
      <c r="F38" s="17">
        <f>IFERROR(__xludf.DUMMYFUNCTION("""COMPUTED_VALUE"""),9.844755593E9)</f>
        <v>9844755593</v>
      </c>
      <c r="G38" s="22">
        <f>IFERROR(__xludf.DUMMYFUNCTION("""COMPUTED_VALUE"""),350.0)</f>
        <v>350</v>
      </c>
      <c r="H38" s="22">
        <f>IFERROR(__xludf.DUMMYFUNCTION("""COMPUTED_VALUE"""),1350.0)</f>
        <v>1350</v>
      </c>
      <c r="I38" s="22">
        <f>IFERROR(__xludf.DUMMYFUNCTION("""COMPUTED_VALUE"""),182.38)</f>
        <v>182.38</v>
      </c>
      <c r="J38" s="17" t="str">
        <f>IFERROR(__xludf.DUMMYFUNCTION("""COMPUTED_VALUE"""),"Delivered")</f>
        <v>Delivered</v>
      </c>
      <c r="K38" s="18">
        <f>IFERROR(__xludf.DUMMYFUNCTION("""COMPUTED_VALUE"""),45866.38072916667)</f>
        <v>45866.38073</v>
      </c>
      <c r="L38" s="17" t="str">
        <f>IFERROR(__xludf.DUMMYFUNCTION("IFS(
  OR(REGEXMATCH(LOWER(E38), ""sirutar|sundarijal|sitapaila|duwakot|tikathali|bhaktapur|lalitpur|kathmandu|ktm|changunarayan|bageswari|ghalate|tinkune|balkot|tikathali""), REGEXMATCH(LOWER(E38), ""inside valley"")), ""Inside Valley"",
  REGEXMATCH(LOW"&amp;"ER(E38), ""dharan|pokhara|biratnagar|birgunj|narayanghat|itahari|hetauda|janakpur|madi""), ""Tier 1"",
  REGEXMATCH(LOWER(E38), ""nepalgunj|butwal|birtamod|dhangadhi|ghorahi|beni|kushma|waling|haldibari|dulegauda|baitadi|bhadrapur|syangja|parbat|myagdi|da"&amp;"ng|nuwakot|jhapa""), ""Tier 2"",
  TRUE, ""Tier 3""
)"),"Tier 2")</f>
        <v>Tier 2</v>
      </c>
      <c r="M38" s="20" t="s">
        <v>498</v>
      </c>
    </row>
    <row r="39">
      <c r="B39" s="18">
        <f>IFERROR(__xludf.DUMMYFUNCTION("""COMPUTED_VALUE"""),45865.17822916667)</f>
        <v>45865.17823</v>
      </c>
      <c r="C39" s="17" t="str">
        <f>IFERROR(__xludf.DUMMYFUNCTION("""COMPUTED_VALUE"""),"Dark brown 40")</f>
        <v>Dark brown 40</v>
      </c>
      <c r="D39" s="17" t="str">
        <f>IFERROR(__xludf.DUMMYFUNCTION("""COMPUTED_VALUE"""),"Govinda Khatiwada")</f>
        <v>Govinda Khatiwada</v>
      </c>
      <c r="E39" s="17" t="str">
        <f>IFERROR(__xludf.DUMMYFUNCTION("""COMPUTED_VALUE"""),"Salleri bazar, solukhumbu")</f>
        <v>Salleri bazar, solukhumbu</v>
      </c>
      <c r="F39" s="17">
        <f>IFERROR(__xludf.DUMMYFUNCTION("""COMPUTED_VALUE"""),9.869667233E9)</f>
        <v>9869667233</v>
      </c>
      <c r="G39" s="22">
        <f>IFERROR(__xludf.DUMMYFUNCTION("""COMPUTED_VALUE"""),320.0)</f>
        <v>320</v>
      </c>
      <c r="H39" s="22">
        <f>IFERROR(__xludf.DUMMYFUNCTION("""COMPUTED_VALUE"""),1320.0)</f>
        <v>1320</v>
      </c>
      <c r="I39" s="22">
        <f>IFERROR(__xludf.DUMMYFUNCTION("""COMPUTED_VALUE"""),212.3)</f>
        <v>212.3</v>
      </c>
      <c r="J39" s="17" t="str">
        <f>IFERROR(__xludf.DUMMYFUNCTION("""COMPUTED_VALUE"""),"Delivered")</f>
        <v>Delivered</v>
      </c>
      <c r="K39" s="18">
        <f>IFERROR(__xludf.DUMMYFUNCTION("""COMPUTED_VALUE"""),45867.60194444444)</f>
        <v>45867.60194</v>
      </c>
      <c r="L39" s="17" t="str">
        <f>IFERROR(__xludf.DUMMYFUNCTION("IFS(
  OR(REGEXMATCH(LOWER(E39), ""sirutar|sundarijal|sitapaila|duwakot|tikathali|bhaktapur|lalitpur|kathmandu|ktm|changunarayan|bageswari|ghalate|tinkune|balkot|tikathali""), REGEXMATCH(LOWER(E39), ""inside valley"")), ""Inside Valley"",
  REGEXMATCH(LOW"&amp;"ER(E39), ""dharan|pokhara|biratnagar|birgunj|narayanghat|itahari|hetauda|janakpur|madi""), ""Tier 1"",
  REGEXMATCH(LOWER(E39), ""nepalgunj|butwal|birtamod|dhangadhi|ghorahi|beni|kushma|waling|haldibari|dulegauda|baitadi|bhadrapur|syangja|parbat|myagdi|da"&amp;"ng|nuwakot|jhapa""), ""Tier 2"",
  TRUE, ""Tier 3""
)"),"Tier 3")</f>
        <v>Tier 3</v>
      </c>
      <c r="M39" s="20" t="s">
        <v>474</v>
      </c>
    </row>
    <row r="40">
      <c r="B40" s="18">
        <f>IFERROR(__xludf.DUMMYFUNCTION("""COMPUTED_VALUE"""),45864.20482638889)</f>
        <v>45864.20483</v>
      </c>
      <c r="C40" s="17" t="str">
        <f>IFERROR(__xludf.DUMMYFUNCTION("""COMPUTED_VALUE"""),"Size 39 Martin 3 sole")</f>
        <v>Size 39 Martin 3 sole</v>
      </c>
      <c r="D40" s="17" t="str">
        <f>IFERROR(__xludf.DUMMYFUNCTION("""COMPUTED_VALUE"""),"Rohan")</f>
        <v>Rohan</v>
      </c>
      <c r="E40" s="17" t="str">
        <f>IFERROR(__xludf.DUMMYFUNCTION("""COMPUTED_VALUE"""),"Manakamana suit hotel, gogechaur, banepa")</f>
        <v>Manakamana suit hotel, gogechaur, banepa</v>
      </c>
      <c r="F40" s="17">
        <f>IFERROR(__xludf.DUMMYFUNCTION("""COMPUTED_VALUE"""),9.701538165E9)</f>
        <v>9701538165</v>
      </c>
      <c r="G40" s="22">
        <f>IFERROR(__xludf.DUMMYFUNCTION("""COMPUTED_VALUE"""),600.0)</f>
        <v>600</v>
      </c>
      <c r="H40" s="22">
        <f>IFERROR(__xludf.DUMMYFUNCTION("""COMPUTED_VALUE"""),1600.0)</f>
        <v>1600</v>
      </c>
      <c r="I40" s="22">
        <f>IFERROR(__xludf.DUMMYFUNCTION("""COMPUTED_VALUE"""),163.0)</f>
        <v>163</v>
      </c>
      <c r="J40" s="17" t="str">
        <f>IFERROR(__xludf.DUMMYFUNCTION("""COMPUTED_VALUE"""),"Delivered")</f>
        <v>Delivered</v>
      </c>
      <c r="K40" s="18">
        <f>IFERROR(__xludf.DUMMYFUNCTION("""COMPUTED_VALUE"""),45865.5271875)</f>
        <v>45865.52719</v>
      </c>
      <c r="L40" s="17" t="str">
        <f>IFERROR(__xludf.DUMMYFUNCTION("IFS(
  OR(REGEXMATCH(LOWER(E40), ""sirutar|sundarijal|sitapaila|duwakot|tikathali|bhaktapur|lalitpur|kathmandu|ktm|changunarayan|bageswari|ghalate|tinkune|balkot|tikathali""), REGEXMATCH(LOWER(E40), ""inside valley"")), ""Inside Valley"",
  REGEXMATCH(LOW"&amp;"ER(E40), ""dharan|pokhara|biratnagar|birgunj|narayanghat|itahari|hetauda|janakpur|madi""), ""Tier 1"",
  REGEXMATCH(LOWER(E40), ""nepalgunj|butwal|birtamod|dhangadhi|ghorahi|beni|kushma|waling|haldibari|dulegauda|baitadi|bhadrapur|syangja|parbat|myagdi|da"&amp;"ng|nuwakot|jhapa""), ""Tier 2"",
  TRUE, ""Tier 3""
)"),"Tier 3")</f>
        <v>Tier 3</v>
      </c>
      <c r="M40" s="20" t="s">
        <v>479</v>
      </c>
    </row>
    <row r="41">
      <c r="B41" s="18">
        <f>IFERROR(__xludf.DUMMYFUNCTION("""COMPUTED_VALUE"""),45864.203668981485)</f>
        <v>45864.20367</v>
      </c>
      <c r="C41" s="17" t="str">
        <f>IFERROR(__xludf.DUMMYFUNCTION("""COMPUTED_VALUE"""),"Single sole Martin 43")</f>
        <v>Single sole Martin 43</v>
      </c>
      <c r="D41" s="17" t="str">
        <f>IFERROR(__xludf.DUMMYFUNCTION("""COMPUTED_VALUE"""),"Ankit Rajbanshi")</f>
        <v>Ankit Rajbanshi</v>
      </c>
      <c r="E41" s="17" t="str">
        <f>IFERROR(__xludf.DUMMYFUNCTION("""COMPUTED_VALUE"""),"Mechinagar-10, dhulabari, jhapa")</f>
        <v>Mechinagar-10, dhulabari, jhapa</v>
      </c>
      <c r="F41" s="17">
        <f>IFERROR(__xludf.DUMMYFUNCTION("""COMPUTED_VALUE"""),9.827940827E9)</f>
        <v>9827940827</v>
      </c>
      <c r="G41" s="22">
        <f>IFERROR(__xludf.DUMMYFUNCTION("""COMPUTED_VALUE"""),350.0)</f>
        <v>350</v>
      </c>
      <c r="H41" s="22">
        <f>IFERROR(__xludf.DUMMYFUNCTION("""COMPUTED_VALUE"""),1350.0)</f>
        <v>1350</v>
      </c>
      <c r="I41" s="22">
        <f>IFERROR(__xludf.DUMMYFUNCTION("""COMPUTED_VALUE"""),182.38)</f>
        <v>182.38</v>
      </c>
      <c r="J41" s="17" t="str">
        <f>IFERROR(__xludf.DUMMYFUNCTION("""COMPUTED_VALUE"""),"Delivered")</f>
        <v>Delivered</v>
      </c>
      <c r="K41" s="18">
        <f>IFERROR(__xludf.DUMMYFUNCTION("""COMPUTED_VALUE"""),45866.45042824074)</f>
        <v>45866.45043</v>
      </c>
      <c r="L41" s="17" t="str">
        <f>IFERROR(__xludf.DUMMYFUNCTION("IFS(
  OR(REGEXMATCH(LOWER(E41), ""sirutar|sundarijal|sitapaila|duwakot|tikathali|bhaktapur|lalitpur|kathmandu|ktm|changunarayan|bageswari|ghalate|tinkune|balkot|tikathali""), REGEXMATCH(LOWER(E41), ""inside valley"")), ""Inside Valley"",
  REGEXMATCH(LOW"&amp;"ER(E41), ""dharan|pokhara|biratnagar|birgunj|narayanghat|itahari|hetauda|janakpur|madi""), ""Tier 1"",
  REGEXMATCH(LOWER(E41), ""nepalgunj|butwal|birtamod|dhangadhi|ghorahi|beni|kushma|waling|haldibari|dulegauda|baitadi|bhadrapur|syangja|parbat|myagdi|da"&amp;"ng|nuwakot|jhapa""), ""Tier 2"",
  TRUE, ""Tier 3""
)"),"Tier 2")</f>
        <v>Tier 2</v>
      </c>
      <c r="M41" s="20" t="s">
        <v>474</v>
      </c>
    </row>
    <row r="42">
      <c r="B42" s="18">
        <f>IFERROR(__xludf.DUMMYFUNCTION("""COMPUTED_VALUE"""),45864.191504629634)</f>
        <v>45864.1915</v>
      </c>
      <c r="C42" s="17" t="str">
        <f>IFERROR(__xludf.DUMMYFUNCTION("""COMPUTED_VALUE"""),"Brown 40")</f>
        <v>Brown 40</v>
      </c>
      <c r="D42" s="17" t="str">
        <f>IFERROR(__xludf.DUMMYFUNCTION("""COMPUTED_VALUE"""),"Toshu Sah")</f>
        <v>Toshu Sah</v>
      </c>
      <c r="E42" s="17" t="str">
        <f>IFERROR(__xludf.DUMMYFUNCTION("""COMPUTED_VALUE"""),"Chyasal, lalitpur")</f>
        <v>Chyasal, lalitpur</v>
      </c>
      <c r="F42" s="17">
        <f>IFERROR(__xludf.DUMMYFUNCTION("""COMPUTED_VALUE"""),9.700310751E9)</f>
        <v>9700310751</v>
      </c>
      <c r="G42" s="22">
        <f>IFERROR(__xludf.DUMMYFUNCTION("""COMPUTED_VALUE"""),300.0)</f>
        <v>300</v>
      </c>
      <c r="H42" s="22">
        <f>IFERROR(__xludf.DUMMYFUNCTION("""COMPUTED_VALUE"""),1300.0)</f>
        <v>1300</v>
      </c>
      <c r="I42" s="22">
        <f>IFERROR(__xludf.DUMMYFUNCTION("""COMPUTED_VALUE"""),102.25)</f>
        <v>102.25</v>
      </c>
      <c r="J42" s="17" t="str">
        <f>IFERROR(__xludf.DUMMYFUNCTION("""COMPUTED_VALUE"""),"Delivered")</f>
        <v>Delivered</v>
      </c>
      <c r="K42" s="18">
        <f>IFERROR(__xludf.DUMMYFUNCTION("""COMPUTED_VALUE"""),45865.17994212963)</f>
        <v>45865.17994</v>
      </c>
      <c r="L42" s="17" t="str">
        <f>IFERROR(__xludf.DUMMYFUNCTION("IFS(
  OR(REGEXMATCH(LOWER(E42), ""sirutar|sundarijal|sitapaila|duwakot|tikathali|bhaktapur|lalitpur|kathmandu|ktm|changunarayan|bageswari|ghalate|tinkune|balkot|tikathali""), REGEXMATCH(LOWER(E42), ""inside valley"")), ""Inside Valley"",
  REGEXMATCH(LOW"&amp;"ER(E42), ""dharan|pokhara|biratnagar|birgunj|narayanghat|itahari|hetauda|janakpur|madi""), ""Tier 1"",
  REGEXMATCH(LOWER(E42), ""nepalgunj|butwal|birtamod|dhangadhi|ghorahi|beni|kushma|waling|haldibari|dulegauda|baitadi|bhadrapur|syangja|parbat|myagdi|da"&amp;"ng|nuwakot|jhapa""), ""Tier 2"",
  TRUE, ""Tier 3""
)"),"Inside Valley")</f>
        <v>Inside Valley</v>
      </c>
      <c r="M42" s="20" t="s">
        <v>479</v>
      </c>
    </row>
    <row r="43">
      <c r="B43" s="18">
        <f>IFERROR(__xludf.DUMMYFUNCTION("""COMPUTED_VALUE"""),45863.22542824074)</f>
        <v>45863.22543</v>
      </c>
      <c r="C43" s="17" t="str">
        <f>IFERROR(__xludf.DUMMYFUNCTION("""COMPUTED_VALUE"""),"Martin half double sole")</f>
        <v>Martin half double sole</v>
      </c>
      <c r="D43" s="17" t="str">
        <f>IFERROR(__xludf.DUMMYFUNCTION("""COMPUTED_VALUE"""),"Abhishek rokaya")</f>
        <v>Abhishek rokaya</v>
      </c>
      <c r="E43" s="17" t="str">
        <f>IFERROR(__xludf.DUMMYFUNCTION("""COMPUTED_VALUE"""),"Durbarmarg , yakyeti marg Jane bato")</f>
        <v>Durbarmarg , yakyeti marg Jane bato</v>
      </c>
      <c r="F43" s="17">
        <f>IFERROR(__xludf.DUMMYFUNCTION("""COMPUTED_VALUE"""),9.822767923E9)</f>
        <v>9822767923</v>
      </c>
      <c r="G43" s="22">
        <f>IFERROR(__xludf.DUMMYFUNCTION("""COMPUTED_VALUE"""),400.0)</f>
        <v>400</v>
      </c>
      <c r="H43" s="22">
        <f>IFERROR(__xludf.DUMMYFUNCTION("""COMPUTED_VALUE"""),1300.0)</f>
        <v>1300</v>
      </c>
      <c r="I43" s="22">
        <f>IFERROR(__xludf.DUMMYFUNCTION("""COMPUTED_VALUE"""),102.25)</f>
        <v>102.25</v>
      </c>
      <c r="J43" s="17" t="str">
        <f>IFERROR(__xludf.DUMMYFUNCTION("""COMPUTED_VALUE"""),"Delivered")</f>
        <v>Delivered</v>
      </c>
      <c r="K43" s="18">
        <f>IFERROR(__xludf.DUMMYFUNCTION("""COMPUTED_VALUE"""),45863.423414351855)</f>
        <v>45863.42341</v>
      </c>
      <c r="L43" s="17" t="str">
        <f>IFERROR(__xludf.DUMMYFUNCTION("IFS(
  OR(REGEXMATCH(LOWER(E43), ""sirutar|sundarijal|sitapaila|duwakot|tikathali|bhaktapur|lalitpur|kathmandu|ktm|changunarayan|bageswari|ghalate|tinkune|balkot|tikathali""), REGEXMATCH(LOWER(E43), ""inside valley"")), ""Inside Valley"",
  REGEXMATCH(LOW"&amp;"ER(E43), ""dharan|pokhara|biratnagar|birgunj|narayanghat|itahari|hetauda|janakpur|madi""), ""Tier 1"",
  REGEXMATCH(LOWER(E43), ""nepalgunj|butwal|birtamod|dhangadhi|ghorahi|beni|kushma|waling|haldibari|dulegauda|baitadi|bhadrapur|syangja|parbat|myagdi|da"&amp;"ng|nuwakot|jhapa""), ""Tier 2"",
  TRUE, ""Tier 3""
)"),"Tier 3")</f>
        <v>Tier 3</v>
      </c>
      <c r="M43" s="20" t="s">
        <v>479</v>
      </c>
    </row>
    <row r="44">
      <c r="B44" s="18">
        <f>IFERROR(__xludf.DUMMYFUNCTION("""COMPUTED_VALUE"""),45863.22326388889)</f>
        <v>45863.22326</v>
      </c>
      <c r="C44" s="17" t="str">
        <f>IFERROR(__xludf.DUMMYFUNCTION("""COMPUTED_VALUE"""),"Sky blue Nike size 42")</f>
        <v>Sky blue Nike size 42</v>
      </c>
      <c r="D44" s="17" t="str">
        <f>IFERROR(__xludf.DUMMYFUNCTION("""COMPUTED_VALUE"""),"Rohan Grg Prajoo")</f>
        <v>Rohan Grg Prajoo</v>
      </c>
      <c r="E44" s="17" t="str">
        <f>IFERROR(__xludf.DUMMYFUNCTION("""COMPUTED_VALUE"""),"Tersapatti 3 pokhara")</f>
        <v>Tersapatti 3 pokhara</v>
      </c>
      <c r="F44" s="17">
        <f>IFERROR(__xludf.DUMMYFUNCTION("""COMPUTED_VALUE"""),9.705554376E9)</f>
        <v>9705554376</v>
      </c>
      <c r="G44" s="22">
        <f>IFERROR(__xludf.DUMMYFUNCTION("""COMPUTED_VALUE"""),350.0)</f>
        <v>350</v>
      </c>
      <c r="H44" s="22">
        <f>IFERROR(__xludf.DUMMYFUNCTION("""COMPUTED_VALUE"""),1350.0)</f>
        <v>1350</v>
      </c>
      <c r="I44" s="22">
        <f>IFERROR(__xludf.DUMMYFUNCTION("""COMPUTED_VALUE"""),162.38)</f>
        <v>162.38</v>
      </c>
      <c r="J44" s="17" t="str">
        <f>IFERROR(__xludf.DUMMYFUNCTION("""COMPUTED_VALUE"""),"Delivered")</f>
        <v>Delivered</v>
      </c>
      <c r="K44" s="18">
        <f>IFERROR(__xludf.DUMMYFUNCTION("""COMPUTED_VALUE"""),45866.33039351852)</f>
        <v>45866.33039</v>
      </c>
      <c r="L44" s="17" t="str">
        <f>IFERROR(__xludf.DUMMYFUNCTION("IFS(
  OR(REGEXMATCH(LOWER(E44), ""sirutar|sundarijal|sitapaila|duwakot|tikathali|bhaktapur|lalitpur|kathmandu|ktm|changunarayan|bageswari|ghalate|tinkune|balkot|tikathali""), REGEXMATCH(LOWER(E44), ""inside valley"")), ""Inside Valley"",
  REGEXMATCH(LOW"&amp;"ER(E44), ""dharan|pokhara|biratnagar|birgunj|narayanghat|itahari|hetauda|janakpur|madi""), ""Tier 1"",
  REGEXMATCH(LOWER(E44), ""nepalgunj|butwal|birtamod|dhangadhi|ghorahi|beni|kushma|waling|haldibari|dulegauda|baitadi|bhadrapur|syangja|parbat|myagdi|da"&amp;"ng|nuwakot|jhapa""), ""Tier 2"",
  TRUE, ""Tier 3""
)"),"Tier 1")</f>
        <v>Tier 1</v>
      </c>
      <c r="M44" s="20" t="s">
        <v>482</v>
      </c>
    </row>
    <row r="45">
      <c r="B45" s="18">
        <f>IFERROR(__xludf.DUMMYFUNCTION("""COMPUTED_VALUE"""),45863.203414351854)</f>
        <v>45863.20341</v>
      </c>
      <c r="C45" s="17" t="str">
        <f>IFERROR(__xludf.DUMMYFUNCTION("""COMPUTED_VALUE"""),"Red Nike 43")</f>
        <v>Red Nike 43</v>
      </c>
      <c r="D45" s="17" t="str">
        <f>IFERROR(__xludf.DUMMYFUNCTION("""COMPUTED_VALUE"""),"Sagar")</f>
        <v>Sagar</v>
      </c>
      <c r="E45" s="17" t="str">
        <f>IFERROR(__xludf.DUMMYFUNCTION("""COMPUTED_VALUE"""),"Dhangadhi bhakat chowk, ward no. 9")</f>
        <v>Dhangadhi bhakat chowk, ward no. 9</v>
      </c>
      <c r="F45" s="17">
        <f>IFERROR(__xludf.DUMMYFUNCTION("""COMPUTED_VALUE"""),9.814660801E9)</f>
        <v>9814660801</v>
      </c>
      <c r="G45" s="22">
        <f>IFERROR(__xludf.DUMMYFUNCTION("""COMPUTED_VALUE"""),350.0)</f>
        <v>350</v>
      </c>
      <c r="H45" s="22">
        <f>IFERROR(__xludf.DUMMYFUNCTION("""COMPUTED_VALUE"""),1350.0)</f>
        <v>1350</v>
      </c>
      <c r="I45" s="22">
        <f>IFERROR(__xludf.DUMMYFUNCTION("""COMPUTED_VALUE"""),182.38)</f>
        <v>182.38</v>
      </c>
      <c r="J45" s="17" t="str">
        <f>IFERROR(__xludf.DUMMYFUNCTION("""COMPUTED_VALUE"""),"Delivered")</f>
        <v>Delivered</v>
      </c>
      <c r="K45" s="18">
        <f>IFERROR(__xludf.DUMMYFUNCTION("""COMPUTED_VALUE"""),45865.2788425926)</f>
        <v>45865.27884</v>
      </c>
      <c r="L45" s="17" t="str">
        <f>IFERROR(__xludf.DUMMYFUNCTION("IFS(
  OR(REGEXMATCH(LOWER(E45), ""sirutar|sundarijal|sitapaila|duwakot|tikathali|bhaktapur|lalitpur|kathmandu|ktm|changunarayan|bageswari|ghalate|tinkune|balkot|tikathali""), REGEXMATCH(LOWER(E45), ""inside valley"")), ""Inside Valley"",
  REGEXMATCH(LOW"&amp;"ER(E45), ""dharan|pokhara|biratnagar|birgunj|narayanghat|itahari|hetauda|janakpur|madi""), ""Tier 1"",
  REGEXMATCH(LOWER(E45), ""nepalgunj|butwal|birtamod|dhangadhi|ghorahi|beni|kushma|waling|haldibari|dulegauda|baitadi|bhadrapur|syangja|parbat|myagdi|da"&amp;"ng|nuwakot|jhapa""), ""Tier 2"",
  TRUE, ""Tier 3""
)"),"Tier 2")</f>
        <v>Tier 2</v>
      </c>
      <c r="M45" s="20" t="s">
        <v>492</v>
      </c>
    </row>
    <row r="46">
      <c r="B46" s="18">
        <f>IFERROR(__xludf.DUMMYFUNCTION("""COMPUTED_VALUE"""),45863.20244212963)</f>
        <v>45863.20244</v>
      </c>
      <c r="C46" s="17" t="str">
        <f>IFERROR(__xludf.DUMMYFUNCTION("""COMPUTED_VALUE"""),"Nike white and vans 41")</f>
        <v>Nike white and vans 41</v>
      </c>
      <c r="D46" s="17" t="str">
        <f>IFERROR(__xludf.DUMMYFUNCTION("""COMPUTED_VALUE"""),"Manoj Parsai")</f>
        <v>Manoj Parsai</v>
      </c>
      <c r="E46" s="17" t="str">
        <f>IFERROR(__xludf.DUMMYFUNCTION("""COMPUTED_VALUE"""),"Nayabazar 10, pokhara, kaski")</f>
        <v>Nayabazar 10, pokhara, kaski</v>
      </c>
      <c r="F46" s="17">
        <f>IFERROR(__xludf.DUMMYFUNCTION("""COMPUTED_VALUE"""),9.816148089E9)</f>
        <v>9816148089</v>
      </c>
      <c r="G46" s="22">
        <f>IFERROR(__xludf.DUMMYFUNCTION("""COMPUTED_VALUE"""),950.0)</f>
        <v>950</v>
      </c>
      <c r="H46" s="22">
        <f>IFERROR(__xludf.DUMMYFUNCTION("""COMPUTED_VALUE"""),2550.0)</f>
        <v>2550</v>
      </c>
      <c r="I46" s="22">
        <f>IFERROR(__xludf.DUMMYFUNCTION("""COMPUTED_VALUE"""),165.38)</f>
        <v>165.38</v>
      </c>
      <c r="J46" s="17" t="str">
        <f>IFERROR(__xludf.DUMMYFUNCTION("""COMPUTED_VALUE"""),"Delivered")</f>
        <v>Delivered</v>
      </c>
      <c r="K46" s="18">
        <f>IFERROR(__xludf.DUMMYFUNCTION("""COMPUTED_VALUE"""),45864.416226851856)</f>
        <v>45864.41623</v>
      </c>
      <c r="L46" s="17" t="str">
        <f>IFERROR(__xludf.DUMMYFUNCTION("IFS(
  OR(REGEXMATCH(LOWER(E46), ""sirutar|sundarijal|sitapaila|duwakot|tikathali|bhaktapur|lalitpur|kathmandu|ktm|changunarayan|bageswari|ghalate|tinkune|balkot|tikathali""), REGEXMATCH(LOWER(E46), ""inside valley"")), ""Inside Valley"",
  REGEXMATCH(LOW"&amp;"ER(E46), ""dharan|pokhara|biratnagar|birgunj|narayanghat|itahari|hetauda|janakpur|madi""), ""Tier 1"",
  REGEXMATCH(LOWER(E46), ""nepalgunj|butwal|birtamod|dhangadhi|ghorahi|beni|kushma|waling|haldibari|dulegauda|baitadi|bhadrapur|syangja|parbat|myagdi|da"&amp;"ng|nuwakot|jhapa""), ""Tier 2"",
  TRUE, ""Tier 3""
)"),"Tier 1")</f>
        <v>Tier 1</v>
      </c>
      <c r="M46" s="20" t="s">
        <v>482</v>
      </c>
    </row>
    <row r="47">
      <c r="B47" s="18">
        <f>IFERROR(__xludf.DUMMYFUNCTION("""COMPUTED_VALUE"""),45862.1970949074)</f>
        <v>45862.19709</v>
      </c>
      <c r="C47" s="17" t="str">
        <f>IFERROR(__xludf.DUMMYFUNCTION("""COMPUTED_VALUE"""),"Sr sports and vans 42")</f>
        <v>Sr sports and vans 42</v>
      </c>
      <c r="D47" s="17" t="str">
        <f>IFERROR(__xludf.DUMMYFUNCTION("""COMPUTED_VALUE"""),"Abhishek Shrestha")</f>
        <v>Abhishek Shrestha</v>
      </c>
      <c r="E47" s="17" t="str">
        <f>IFERROR(__xludf.DUMMYFUNCTION("""COMPUTED_VALUE"""),"Tokha, kathmandu")</f>
        <v>Tokha, kathmandu</v>
      </c>
      <c r="F47" s="17">
        <f>IFERROR(__xludf.DUMMYFUNCTION("""COMPUTED_VALUE"""),9.803226972E9)</f>
        <v>9803226972</v>
      </c>
      <c r="G47" s="22">
        <f>IFERROR(__xludf.DUMMYFUNCTION("""COMPUTED_VALUE"""),900.0)</f>
        <v>900</v>
      </c>
      <c r="H47" s="22">
        <f>IFERROR(__xludf.DUMMYFUNCTION("""COMPUTED_VALUE"""),2500.0)</f>
        <v>2500</v>
      </c>
      <c r="I47" s="22">
        <f>IFERROR(__xludf.DUMMYFUNCTION("""COMPUTED_VALUE"""),105.25)</f>
        <v>105.25</v>
      </c>
      <c r="J47" s="17" t="str">
        <f>IFERROR(__xludf.DUMMYFUNCTION("""COMPUTED_VALUE"""),"Delivered")</f>
        <v>Delivered</v>
      </c>
      <c r="K47" s="18">
        <f>IFERROR(__xludf.DUMMYFUNCTION("""COMPUTED_VALUE"""),45863.3140625)</f>
        <v>45863.31406</v>
      </c>
      <c r="L47" s="17" t="str">
        <f>IFERROR(__xludf.DUMMYFUNCTION("IFS(
  OR(REGEXMATCH(LOWER(E47), ""sirutar|sundarijal|sitapaila|duwakot|tikathali|bhaktapur|lalitpur|kathmandu|ktm|changunarayan|bageswari|ghalate|tinkune|balkot|tikathali""), REGEXMATCH(LOWER(E47), ""inside valley"")), ""Inside Valley"",
  REGEXMATCH(LOW"&amp;"ER(E47), ""dharan|pokhara|biratnagar|birgunj|narayanghat|itahari|hetauda|janakpur|madi""), ""Tier 1"",
  REGEXMATCH(LOWER(E47), ""nepalgunj|butwal|birtamod|dhangadhi|ghorahi|beni|kushma|waling|haldibari|dulegauda|baitadi|bhadrapur|syangja|parbat|myagdi|da"&amp;"ng|nuwakot|jhapa""), ""Tier 2"",
  TRUE, ""Tier 3""
)"),"Inside Valley")</f>
        <v>Inside Valley</v>
      </c>
      <c r="M47" s="20" t="s">
        <v>479</v>
      </c>
    </row>
    <row r="48">
      <c r="B48" s="18">
        <f>IFERROR(__xludf.DUMMYFUNCTION("""COMPUTED_VALUE"""),45862.19537037037)</f>
        <v>45862.19537</v>
      </c>
      <c r="C48" s="17" t="str">
        <f>IFERROR(__xludf.DUMMYFUNCTION("""COMPUTED_VALUE"""),"Dark brown 42")</f>
        <v>Dark brown 42</v>
      </c>
      <c r="D48" s="17" t="str">
        <f>IFERROR(__xludf.DUMMYFUNCTION("""COMPUTED_VALUE"""),"Suraj Gyawali")</f>
        <v>Suraj Gyawali</v>
      </c>
      <c r="E48" s="17" t="str">
        <f>IFERROR(__xludf.DUMMYFUNCTION("""COMPUTED_VALUE"""),"Parsyang pokhara")</f>
        <v>Parsyang pokhara</v>
      </c>
      <c r="F48" s="17">
        <f>IFERROR(__xludf.DUMMYFUNCTION("""COMPUTED_VALUE"""),9.84730756E9)</f>
        <v>9847307560</v>
      </c>
      <c r="G48" s="22">
        <f>IFERROR(__xludf.DUMMYFUNCTION("""COMPUTED_VALUE"""),350.0)</f>
        <v>350</v>
      </c>
      <c r="H48" s="22">
        <f>IFERROR(__xludf.DUMMYFUNCTION("""COMPUTED_VALUE"""),1350.0)</f>
        <v>1350</v>
      </c>
      <c r="I48" s="22">
        <f>IFERROR(__xludf.DUMMYFUNCTION("""COMPUTED_VALUE"""),162.38)</f>
        <v>162.38</v>
      </c>
      <c r="J48" s="17" t="str">
        <f>IFERROR(__xludf.DUMMYFUNCTION("""COMPUTED_VALUE"""),"Delivered")</f>
        <v>Delivered</v>
      </c>
      <c r="K48" s="18">
        <f>IFERROR(__xludf.DUMMYFUNCTION("""COMPUTED_VALUE"""),45863.42010416667)</f>
        <v>45863.4201</v>
      </c>
      <c r="L48" s="17" t="str">
        <f>IFERROR(__xludf.DUMMYFUNCTION("IFS(
  OR(REGEXMATCH(LOWER(E48), ""sirutar|sundarijal|sitapaila|duwakot|tikathali|bhaktapur|lalitpur|kathmandu|ktm|changunarayan|bageswari|ghalate|tinkune|balkot|tikathali""), REGEXMATCH(LOWER(E48), ""inside valley"")), ""Inside Valley"",
  REGEXMATCH(LOW"&amp;"ER(E48), ""dharan|pokhara|biratnagar|birgunj|narayanghat|itahari|hetauda|janakpur|madi""), ""Tier 1"",
  REGEXMATCH(LOWER(E48), ""nepalgunj|butwal|birtamod|dhangadhi|ghorahi|beni|kushma|waling|haldibari|dulegauda|baitadi|bhadrapur|syangja|parbat|myagdi|da"&amp;"ng|nuwakot|jhapa""), ""Tier 2"",
  TRUE, ""Tier 3""
)"),"Tier 1")</f>
        <v>Tier 1</v>
      </c>
      <c r="M48" s="20" t="s">
        <v>482</v>
      </c>
    </row>
    <row r="49">
      <c r="B49" s="18">
        <f>IFERROR(__xludf.DUMMYFUNCTION("""COMPUTED_VALUE"""),45862.188368055555)</f>
        <v>45862.18837</v>
      </c>
      <c r="C49" s="17" t="str">
        <f>IFERROR(__xludf.DUMMYFUNCTION("""COMPUTED_VALUE"""),"Vans 42")</f>
        <v>Vans 42</v>
      </c>
      <c r="D49" s="17" t="str">
        <f>IFERROR(__xludf.DUMMYFUNCTION("""COMPUTED_VALUE"""),"Bhuwan Dev")</f>
        <v>Bhuwan Dev</v>
      </c>
      <c r="E49" s="17" t="str">
        <f>IFERROR(__xludf.DUMMYFUNCTION("""COMPUTED_VALUE"""),"Soil management dictorate harihar bhawan, lalitpur ")</f>
        <v>Soil management dictorate harihar bhawan, lalitpur </v>
      </c>
      <c r="F49" s="17">
        <f>IFERROR(__xludf.DUMMYFUNCTION("""COMPUTED_VALUE"""),9.766381427E9)</f>
        <v>9766381427</v>
      </c>
      <c r="G49" s="22">
        <f>IFERROR(__xludf.DUMMYFUNCTION("""COMPUTED_VALUE"""),700.0)</f>
        <v>700</v>
      </c>
      <c r="H49" s="22">
        <f>IFERROR(__xludf.DUMMYFUNCTION("""COMPUTED_VALUE"""),1300.0)</f>
        <v>1300</v>
      </c>
      <c r="I49" s="22">
        <f>IFERROR(__xludf.DUMMYFUNCTION("""COMPUTED_VALUE"""),102.25)</f>
        <v>102.25</v>
      </c>
      <c r="J49" s="17" t="str">
        <f>IFERROR(__xludf.DUMMYFUNCTION("""COMPUTED_VALUE"""),"Delivered")</f>
        <v>Delivered</v>
      </c>
      <c r="K49" s="18">
        <f>IFERROR(__xludf.DUMMYFUNCTION("""COMPUTED_VALUE"""),45863.28288194444)</f>
        <v>45863.28288</v>
      </c>
      <c r="L49" s="17" t="str">
        <f>IFERROR(__xludf.DUMMYFUNCTION("IFS(
  OR(REGEXMATCH(LOWER(E49), ""sirutar|sundarijal|sitapaila|duwakot|tikathali|bhaktapur|lalitpur|kathmandu|ktm|changunarayan|bageswari|ghalate|tinkune|balkot|tikathali""), REGEXMATCH(LOWER(E49), ""inside valley"")), ""Inside Valley"",
  REGEXMATCH(LOW"&amp;"ER(E49), ""dharan|pokhara|biratnagar|birgunj|narayanghat|itahari|hetauda|janakpur|madi""), ""Tier 1"",
  REGEXMATCH(LOWER(E49), ""nepalgunj|butwal|birtamod|dhangadhi|ghorahi|beni|kushma|waling|haldibari|dulegauda|baitadi|bhadrapur|syangja|parbat|myagdi|da"&amp;"ng|nuwakot|jhapa""), ""Tier 2"",
  TRUE, ""Tier 3""
)"),"Inside Valley")</f>
        <v>Inside Valley</v>
      </c>
      <c r="M49" s="20" t="s">
        <v>479</v>
      </c>
    </row>
    <row r="50">
      <c r="B50" s="18">
        <f>IFERROR(__xludf.DUMMYFUNCTION("""COMPUTED_VALUE"""),45861.20143518518)</f>
        <v>45861.20144</v>
      </c>
      <c r="C50" s="17" t="str">
        <f>IFERROR(__xludf.DUMMYFUNCTION("""COMPUTED_VALUE"""),"Dunk Low pro 39")</f>
        <v>Dunk Low pro 39</v>
      </c>
      <c r="D50" s="17" t="str">
        <f>IFERROR(__xludf.DUMMYFUNCTION("""COMPUTED_VALUE"""),"Arpan Neupane")</f>
        <v>Arpan Neupane</v>
      </c>
      <c r="E50" s="17" t="str">
        <f>IFERROR(__xludf.DUMMYFUNCTION("""COMPUTED_VALUE"""),"Kharaney path, leknath kaski")</f>
        <v>Kharaney path, leknath kaski</v>
      </c>
      <c r="F50" s="17">
        <f>IFERROR(__xludf.DUMMYFUNCTION("""COMPUTED_VALUE"""),9.846952971E9)</f>
        <v>9846952971</v>
      </c>
      <c r="G50" s="22">
        <f>IFERROR(__xludf.DUMMYFUNCTION("""COMPUTED_VALUE"""),350.0)</f>
        <v>350</v>
      </c>
      <c r="H50" s="22">
        <f>IFERROR(__xludf.DUMMYFUNCTION("""COMPUTED_VALUE"""),1350.0)</f>
        <v>1350</v>
      </c>
      <c r="I50" s="22">
        <f>IFERROR(__xludf.DUMMYFUNCTION("""COMPUTED_VALUE"""),162.38)</f>
        <v>162.38</v>
      </c>
      <c r="J50" s="17" t="str">
        <f>IFERROR(__xludf.DUMMYFUNCTION("""COMPUTED_VALUE"""),"Delivered")</f>
        <v>Delivered</v>
      </c>
      <c r="K50" s="18">
        <f>IFERROR(__xludf.DUMMYFUNCTION("""COMPUTED_VALUE"""),45862.362337962964)</f>
        <v>45862.36234</v>
      </c>
      <c r="L50" s="17" t="str">
        <f>IFERROR(__xludf.DUMMYFUNCTION("IFS(
  OR(REGEXMATCH(LOWER(E50), ""sirutar|sundarijal|sitapaila|duwakot|tikathali|bhaktapur|lalitpur|kathmandu|ktm|changunarayan|bageswari|ghalate|tinkune|balkot|tikathali""), REGEXMATCH(LOWER(E50), ""inside valley"")), ""Inside Valley"",
  REGEXMATCH(LOW"&amp;"ER(E50), ""dharan|pokhara|biratnagar|birgunj|narayanghat|itahari|hetauda|janakpur|madi""), ""Tier 1"",
  REGEXMATCH(LOWER(E50), ""nepalgunj|butwal|birtamod|dhangadhi|ghorahi|beni|kushma|waling|haldibari|dulegauda|baitadi|bhadrapur|syangja|parbat|myagdi|da"&amp;"ng|nuwakot|jhapa""), ""Tier 2"",
  TRUE, ""Tier 3""
)"),"Tier 3")</f>
        <v>Tier 3</v>
      </c>
      <c r="M50" s="20" t="s">
        <v>482</v>
      </c>
    </row>
    <row r="51">
      <c r="B51" s="18">
        <f>IFERROR(__xludf.DUMMYFUNCTION("""COMPUTED_VALUE"""),45861.199224537035)</f>
        <v>45861.19922</v>
      </c>
      <c r="C51" s="17" t="str">
        <f>IFERROR(__xludf.DUMMYFUNCTION("""COMPUTED_VALUE"""),"Vans 41")</f>
        <v>Vans 41</v>
      </c>
      <c r="D51" s="17" t="str">
        <f>IFERROR(__xludf.DUMMYFUNCTION("""COMPUTED_VALUE"""),"Menal Shrestha")</f>
        <v>Menal Shrestha</v>
      </c>
      <c r="E51" s="17" t="str">
        <f>IFERROR(__xludf.DUMMYFUNCTION("""COMPUTED_VALUE"""),"Steel Tower, jawalakhel")</f>
        <v>Steel Tower, jawalakhel</v>
      </c>
      <c r="F51" s="17">
        <f>IFERROR(__xludf.DUMMYFUNCTION("""COMPUTED_VALUE"""),9.818994553E9)</f>
        <v>9818994553</v>
      </c>
      <c r="G51" s="22">
        <f>IFERROR(__xludf.DUMMYFUNCTION("""COMPUTED_VALUE"""),700.0)</f>
        <v>700</v>
      </c>
      <c r="H51" s="22">
        <f>IFERROR(__xludf.DUMMYFUNCTION("""COMPUTED_VALUE"""),1300.0)</f>
        <v>1300</v>
      </c>
      <c r="I51" s="22">
        <f>IFERROR(__xludf.DUMMYFUNCTION("""COMPUTED_VALUE"""),102.25)</f>
        <v>102.25</v>
      </c>
      <c r="J51" s="17" t="str">
        <f>IFERROR(__xludf.DUMMYFUNCTION("""COMPUTED_VALUE"""),"Delivered")</f>
        <v>Delivered</v>
      </c>
      <c r="K51" s="18">
        <f>IFERROR(__xludf.DUMMYFUNCTION("""COMPUTED_VALUE"""),45861.44431712963)</f>
        <v>45861.44432</v>
      </c>
      <c r="L51" s="17" t="str">
        <f>IFERROR(__xludf.DUMMYFUNCTION("IFS(
  OR(REGEXMATCH(LOWER(E51), ""sirutar|sundarijal|sitapaila|duwakot|tikathali|bhaktapur|lalitpur|kathmandu|ktm|changunarayan|bageswari|ghalate|tinkune|balkot|tikathali""), REGEXMATCH(LOWER(E51), ""inside valley"")), ""Inside Valley"",
  REGEXMATCH(LOW"&amp;"ER(E51), ""dharan|pokhara|biratnagar|birgunj|narayanghat|itahari|hetauda|janakpur|madi""), ""Tier 1"",
  REGEXMATCH(LOWER(E51), ""nepalgunj|butwal|birtamod|dhangadhi|ghorahi|beni|kushma|waling|haldibari|dulegauda|baitadi|bhadrapur|syangja|parbat|myagdi|da"&amp;"ng|nuwakot|jhapa""), ""Tier 2"",
  TRUE, ""Tier 3""
)"),"Tier 3")</f>
        <v>Tier 3</v>
      </c>
      <c r="M51" s="20" t="s">
        <v>479</v>
      </c>
    </row>
    <row r="52">
      <c r="B52" s="18">
        <f>IFERROR(__xludf.DUMMYFUNCTION("""COMPUTED_VALUE"""),45860.51074074074)</f>
        <v>45860.51074</v>
      </c>
      <c r="C52" s="17" t="str">
        <f>IFERROR(__xludf.DUMMYFUNCTION("""COMPUTED_VALUE"""),"Sr delta size 39")</f>
        <v>Sr delta size 39</v>
      </c>
      <c r="D52" s="17" t="str">
        <f>IFERROR(__xludf.DUMMYFUNCTION("""COMPUTED_VALUE"""),"Sanjit Tamang")</f>
        <v>Sanjit Tamang</v>
      </c>
      <c r="E52" s="17" t="str">
        <f>IFERROR(__xludf.DUMMYFUNCTION("""COMPUTED_VALUE"""),"Sirutar, bhaktapur")</f>
        <v>Sirutar, bhaktapur</v>
      </c>
      <c r="F52" s="17">
        <f>IFERROR(__xludf.DUMMYFUNCTION("""COMPUTED_VALUE"""),9.826764749E9)</f>
        <v>9826764749</v>
      </c>
      <c r="G52" s="22">
        <f>IFERROR(__xludf.DUMMYFUNCTION("""COMPUTED_VALUE"""),300.0)</f>
        <v>300</v>
      </c>
      <c r="H52" s="22">
        <f>IFERROR(__xludf.DUMMYFUNCTION("""COMPUTED_VALUE"""),1300.0)</f>
        <v>1300</v>
      </c>
      <c r="I52" s="22">
        <f>IFERROR(__xludf.DUMMYFUNCTION("""COMPUTED_VALUE"""),102.25)</f>
        <v>102.25</v>
      </c>
      <c r="J52" s="17" t="str">
        <f>IFERROR(__xludf.DUMMYFUNCTION("""COMPUTED_VALUE"""),"Delivered")</f>
        <v>Delivered</v>
      </c>
      <c r="K52" s="18">
        <f>IFERROR(__xludf.DUMMYFUNCTION("""COMPUTED_VALUE"""),45862.395266203705)</f>
        <v>45862.39527</v>
      </c>
      <c r="L52" s="17" t="str">
        <f>IFERROR(__xludf.DUMMYFUNCTION("IFS(
  OR(REGEXMATCH(LOWER(E52), ""sirutar|sundarijal|sitapaila|duwakot|tikathali|bhaktapur|lalitpur|kathmandu|ktm|changunarayan|bageswari|ghalate|tinkune|balkot|tikathali""), REGEXMATCH(LOWER(E52), ""inside valley"")), ""Inside Valley"",
  REGEXMATCH(LOW"&amp;"ER(E52), ""dharan|pokhara|biratnagar|birgunj|narayanghat|itahari|hetauda|janakpur|madi""), ""Tier 1"",
  REGEXMATCH(LOWER(E52), ""nepalgunj|butwal|birtamod|dhangadhi|ghorahi|beni|kushma|waling|haldibari|dulegauda|baitadi|bhadrapur|syangja|parbat|myagdi|da"&amp;"ng|nuwakot|jhapa""), ""Tier 2"",
  TRUE, ""Tier 3""
)"),"Inside Valley")</f>
        <v>Inside Valley</v>
      </c>
      <c r="M52" s="20" t="s">
        <v>479</v>
      </c>
    </row>
    <row r="53">
      <c r="B53" s="18">
        <f>IFERROR(__xludf.DUMMYFUNCTION("""COMPUTED_VALUE"""),45857.22825231482)</f>
        <v>45857.22825</v>
      </c>
      <c r="C53" s="17" t="str">
        <f>IFERROR(__xludf.DUMMYFUNCTION("""COMPUTED_VALUE"""),"Vans 43")</f>
        <v>Vans 43</v>
      </c>
      <c r="D53" s="17" t="str">
        <f>IFERROR(__xludf.DUMMYFUNCTION("""COMPUTED_VALUE"""),"Newar Shyam")</f>
        <v>Newar Shyam</v>
      </c>
      <c r="E53" s="17" t="str">
        <f>IFERROR(__xludf.DUMMYFUNCTION("""COMPUTED_VALUE"""),"Pakhapani, dang")</f>
        <v>Pakhapani, dang</v>
      </c>
      <c r="F53" s="17">
        <f>IFERROR(__xludf.DUMMYFUNCTION("""COMPUTED_VALUE"""),9.843713594E9)</f>
        <v>9843713594</v>
      </c>
      <c r="G53" s="22">
        <f>IFERROR(__xludf.DUMMYFUNCTION("""COMPUTED_VALUE"""),750.0)</f>
        <v>750</v>
      </c>
      <c r="H53" s="22">
        <f>IFERROR(__xludf.DUMMYFUNCTION("""COMPUTED_VALUE"""),1350.0)</f>
        <v>1350</v>
      </c>
      <c r="I53" s="22">
        <f>IFERROR(__xludf.DUMMYFUNCTION("""COMPUTED_VALUE"""),232.38)</f>
        <v>232.38</v>
      </c>
      <c r="J53" s="17" t="str">
        <f>IFERROR(__xludf.DUMMYFUNCTION("""COMPUTED_VALUE"""),"Delivered")</f>
        <v>Delivered</v>
      </c>
      <c r="K53" s="18">
        <f>IFERROR(__xludf.DUMMYFUNCTION("""COMPUTED_VALUE"""),45860.518425925926)</f>
        <v>45860.51843</v>
      </c>
      <c r="L53" s="17" t="str">
        <f>IFERROR(__xludf.DUMMYFUNCTION("IFS(
  OR(REGEXMATCH(LOWER(E53), ""sirutar|sundarijal|sitapaila|duwakot|tikathali|bhaktapur|lalitpur|kathmandu|ktm|changunarayan|bageswari|ghalate|tinkune|balkot|tikathali""), REGEXMATCH(LOWER(E53), ""inside valley"")), ""Inside Valley"",
  REGEXMATCH(LOW"&amp;"ER(E53), ""dharan|pokhara|biratnagar|birgunj|narayanghat|itahari|hetauda|janakpur|madi""), ""Tier 1"",
  REGEXMATCH(LOWER(E53), ""nepalgunj|butwal|birtamod|dhangadhi|ghorahi|beni|kushma|waling|haldibari|dulegauda|baitadi|bhadrapur|syangja|parbat|myagdi|da"&amp;"ng|nuwakot|jhapa""), ""Tier 2"",
  TRUE, ""Tier 3""
)"),"Tier 2")</f>
        <v>Tier 2</v>
      </c>
      <c r="M53" s="20" t="s">
        <v>498</v>
      </c>
    </row>
    <row r="54">
      <c r="B54" s="18">
        <f>IFERROR(__xludf.DUMMYFUNCTION("""COMPUTED_VALUE"""),45857.20888888889)</f>
        <v>45857.20889</v>
      </c>
      <c r="C54" s="17" t="str">
        <f>IFERROR(__xludf.DUMMYFUNCTION("""COMPUTED_VALUE"""),"Gray 42")</f>
        <v>Gray 42</v>
      </c>
      <c r="D54" s="17" t="str">
        <f>IFERROR(__xludf.DUMMYFUNCTION("""COMPUTED_VALUE"""),"Diwash")</f>
        <v>Diwash</v>
      </c>
      <c r="E54" s="17" t="str">
        <f>IFERROR(__xludf.DUMMYFUNCTION("""COMPUTED_VALUE"""),"Morang pathari")</f>
        <v>Morang pathari</v>
      </c>
      <c r="F54" s="17">
        <f>IFERROR(__xludf.DUMMYFUNCTION("""COMPUTED_VALUE"""),9.746898035E9)</f>
        <v>9746898035</v>
      </c>
      <c r="G54" s="22">
        <f>IFERROR(__xludf.DUMMYFUNCTION("""COMPUTED_VALUE"""),450.0)</f>
        <v>450</v>
      </c>
      <c r="H54" s="22">
        <f>IFERROR(__xludf.DUMMYFUNCTION("""COMPUTED_VALUE"""),1450.0)</f>
        <v>1450</v>
      </c>
      <c r="I54" s="22">
        <f>IFERROR(__xludf.DUMMYFUNCTION("""COMPUTED_VALUE"""),232.63)</f>
        <v>232.63</v>
      </c>
      <c r="J54" s="17" t="str">
        <f>IFERROR(__xludf.DUMMYFUNCTION("""COMPUTED_VALUE"""),"Delivered")</f>
        <v>Delivered</v>
      </c>
      <c r="K54" s="18">
        <f>IFERROR(__xludf.DUMMYFUNCTION("""COMPUTED_VALUE"""),45862.316307870366)</f>
        <v>45862.31631</v>
      </c>
      <c r="L54" s="17" t="str">
        <f>IFERROR(__xludf.DUMMYFUNCTION("IFS(
  OR(REGEXMATCH(LOWER(E54), ""sirutar|sundarijal|sitapaila|duwakot|tikathali|bhaktapur|lalitpur|kathmandu|ktm|changunarayan|bageswari|ghalate|tinkune|balkot|tikathali""), REGEXMATCH(LOWER(E54), ""inside valley"")), ""Inside Valley"",
  REGEXMATCH(LOW"&amp;"ER(E54), ""dharan|pokhara|biratnagar|birgunj|narayanghat|itahari|hetauda|janakpur|madi""), ""Tier 1"",
  REGEXMATCH(LOWER(E54), ""nepalgunj|butwal|birtamod|dhangadhi|ghorahi|beni|kushma|waling|haldibari|dulegauda|baitadi|bhadrapur|syangja|parbat|myagdi|da"&amp;"ng|nuwakot|jhapa""), ""Tier 2"",
  TRUE, ""Tier 3""
)"),"Tier 3")</f>
        <v>Tier 3</v>
      </c>
      <c r="M54" s="20" t="s">
        <v>474</v>
      </c>
    </row>
    <row r="55">
      <c r="B55" s="18">
        <f>IFERROR(__xludf.DUMMYFUNCTION("""COMPUTED_VALUE"""),45857.206296296295)</f>
        <v>45857.2063</v>
      </c>
      <c r="C55" s="17" t="str">
        <f>IFERROR(__xludf.DUMMYFUNCTION("""COMPUTED_VALUE"""),"Nike White and gray 43")</f>
        <v>Nike White and gray 43</v>
      </c>
      <c r="D55" s="17" t="str">
        <f>IFERROR(__xludf.DUMMYFUNCTION("""COMPUTED_VALUE"""),"Nishan sigdel")</f>
        <v>Nishan sigdel</v>
      </c>
      <c r="E55" s="17" t="str">
        <f>IFERROR(__xludf.DUMMYFUNCTION("""COMPUTED_VALUE"""),"Sunsari, ramdhuni bhasi, lalpur")</f>
        <v>Sunsari, ramdhuni bhasi, lalpur</v>
      </c>
      <c r="F55" s="17">
        <f>IFERROR(__xludf.DUMMYFUNCTION("""COMPUTED_VALUE"""),9.829369398E9)</f>
        <v>9829369398</v>
      </c>
      <c r="G55" s="22">
        <f>IFERROR(__xludf.DUMMYFUNCTION("""COMPUTED_VALUE"""),450.0)</f>
        <v>450</v>
      </c>
      <c r="H55" s="22">
        <f>IFERROR(__xludf.DUMMYFUNCTION("""COMPUTED_VALUE"""),2450.0)</f>
        <v>2450</v>
      </c>
      <c r="I55" s="22">
        <f>IFERROR(__xludf.DUMMYFUNCTION("""COMPUTED_VALUE"""),215.13)</f>
        <v>215.13</v>
      </c>
      <c r="J55" s="17" t="str">
        <f>IFERROR(__xludf.DUMMYFUNCTION("""COMPUTED_VALUE"""),"Delivered")</f>
        <v>Delivered</v>
      </c>
      <c r="K55" s="18">
        <f>IFERROR(__xludf.DUMMYFUNCTION("""COMPUTED_VALUE"""),45860.3343287037)</f>
        <v>45860.33433</v>
      </c>
      <c r="L55" s="17" t="str">
        <f>IFERROR(__xludf.DUMMYFUNCTION("IFS(
  OR(REGEXMATCH(LOWER(E55), ""sirutar|sundarijal|sitapaila|duwakot|tikathali|bhaktapur|lalitpur|kathmandu|ktm|changunarayan|bageswari|ghalate|tinkune|balkot|tikathali""), REGEXMATCH(LOWER(E55), ""inside valley"")), ""Inside Valley"",
  REGEXMATCH(LOW"&amp;"ER(E55), ""dharan|pokhara|biratnagar|birgunj|narayanghat|itahari|hetauda|janakpur|madi""), ""Tier 1"",
  REGEXMATCH(LOWER(E55), ""nepalgunj|butwal|birtamod|dhangadhi|ghorahi|beni|kushma|waling|haldibari|dulegauda|baitadi|bhadrapur|syangja|parbat|myagdi|da"&amp;"ng|nuwakot|jhapa""), ""Tier 2"",
  TRUE, ""Tier 3""
)"),"Tier 3")</f>
        <v>Tier 3</v>
      </c>
      <c r="M55" s="20" t="s">
        <v>474</v>
      </c>
    </row>
    <row r="56">
      <c r="B56" s="18">
        <f>IFERROR(__xludf.DUMMYFUNCTION("""COMPUTED_VALUE"""),45857.19940972222)</f>
        <v>45857.19941</v>
      </c>
      <c r="C56" s="17" t="str">
        <f>IFERROR(__xludf.DUMMYFUNCTION("""COMPUTED_VALUE"""),"Brown 39 nike")</f>
        <v>Brown 39 nike</v>
      </c>
      <c r="D56" s="17" t="str">
        <f>IFERROR(__xludf.DUMMYFUNCTION("""COMPUTED_VALUE"""),"Samir Khadka")</f>
        <v>Samir Khadka</v>
      </c>
      <c r="E56" s="17" t="str">
        <f>IFERROR(__xludf.DUMMYFUNCTION("""COMPUTED_VALUE"""),"Mullani, manakamana mandir")</f>
        <v>Mullani, manakamana mandir</v>
      </c>
      <c r="F56" s="17">
        <f>IFERROR(__xludf.DUMMYFUNCTION("""COMPUTED_VALUE"""),9.80344133E9)</f>
        <v>9803441330</v>
      </c>
      <c r="G56" s="22">
        <f>IFERROR(__xludf.DUMMYFUNCTION("""COMPUTED_VALUE"""),300.0)</f>
        <v>300</v>
      </c>
      <c r="H56" s="22">
        <f>IFERROR(__xludf.DUMMYFUNCTION("""COMPUTED_VALUE"""),1300.0)</f>
        <v>1300</v>
      </c>
      <c r="I56" s="22">
        <f>IFERROR(__xludf.DUMMYFUNCTION("""COMPUTED_VALUE"""),152.25)</f>
        <v>152.25</v>
      </c>
      <c r="J56" s="17" t="str">
        <f>IFERROR(__xludf.DUMMYFUNCTION("""COMPUTED_VALUE"""),"Delivered")</f>
        <v>Delivered</v>
      </c>
      <c r="K56" s="18">
        <f>IFERROR(__xludf.DUMMYFUNCTION("""COMPUTED_VALUE"""),45858.38641203704)</f>
        <v>45858.38641</v>
      </c>
      <c r="L56" s="17" t="str">
        <f>IFERROR(__xludf.DUMMYFUNCTION("IFS(
  OR(REGEXMATCH(LOWER(E56), ""sirutar|sundarijal|sitapaila|duwakot|tikathali|bhaktapur|lalitpur|kathmandu|ktm|changunarayan|bageswari|ghalate|tinkune|balkot|tikathali""), REGEXMATCH(LOWER(E56), ""inside valley"")), ""Inside Valley"",
  REGEXMATCH(LOW"&amp;"ER(E56), ""dharan|pokhara|biratnagar|birgunj|narayanghat|itahari|hetauda|janakpur|madi""), ""Tier 1"",
  REGEXMATCH(LOWER(E56), ""nepalgunj|butwal|birtamod|dhangadhi|ghorahi|beni|kushma|waling|haldibari|dulegauda|baitadi|bhadrapur|syangja|parbat|myagdi|da"&amp;"ng|nuwakot|jhapa""), ""Tier 2"",
  TRUE, ""Tier 3""
)"),"Tier 3")</f>
        <v>Tier 3</v>
      </c>
      <c r="M56" s="20" t="s">
        <v>482</v>
      </c>
    </row>
    <row r="57">
      <c r="B57" s="18">
        <f>IFERROR(__xludf.DUMMYFUNCTION("""COMPUTED_VALUE"""),45857.197800925926)</f>
        <v>45857.1978</v>
      </c>
      <c r="C57" s="17" t="str">
        <f>IFERROR(__xludf.DUMMYFUNCTION("""COMPUTED_VALUE"""),"Nike 11 red 44")</f>
        <v>Nike 11 red 44</v>
      </c>
      <c r="D57" s="17" t="str">
        <f>IFERROR(__xludf.DUMMYFUNCTION("""COMPUTED_VALUE"""),"Dipesh Bhusal")</f>
        <v>Dipesh Bhusal</v>
      </c>
      <c r="E57" s="17" t="str">
        <f>IFERROR(__xludf.DUMMYFUNCTION("""COMPUTED_VALUE"""),"Accham district, sanfebagar")</f>
        <v>Accham district, sanfebagar</v>
      </c>
      <c r="F57" s="17">
        <f>IFERROR(__xludf.DUMMYFUNCTION("""COMPUTED_VALUE"""),9.86471728E9)</f>
        <v>9864717280</v>
      </c>
      <c r="G57" s="22">
        <f>IFERROR(__xludf.DUMMYFUNCTION("""COMPUTED_VALUE"""),650.0)</f>
        <v>650</v>
      </c>
      <c r="H57" s="22">
        <f>IFERROR(__xludf.DUMMYFUNCTION("""COMPUTED_VALUE"""),1450.0)</f>
        <v>1450</v>
      </c>
      <c r="I57" s="22">
        <f>IFERROR(__xludf.DUMMYFUNCTION("""COMPUTED_VALUE"""),212.63)</f>
        <v>212.63</v>
      </c>
      <c r="J57" s="17" t="str">
        <f>IFERROR(__xludf.DUMMYFUNCTION("""COMPUTED_VALUE"""),"Delivered")</f>
        <v>Delivered</v>
      </c>
      <c r="K57" s="18">
        <f>IFERROR(__xludf.DUMMYFUNCTION("""COMPUTED_VALUE"""),45860.51934027778)</f>
        <v>45860.51934</v>
      </c>
      <c r="L57" s="17" t="str">
        <f>IFERROR(__xludf.DUMMYFUNCTION("IFS(
  OR(REGEXMATCH(LOWER(E57), ""sirutar|sundarijal|sitapaila|duwakot|tikathali|bhaktapur|lalitpur|kathmandu|ktm|changunarayan|bageswari|ghalate|tinkune|balkot|tikathali""), REGEXMATCH(LOWER(E57), ""inside valley"")), ""Inside Valley"",
  REGEXMATCH(LOW"&amp;"ER(E57), ""dharan|pokhara|biratnagar|birgunj|narayanghat|itahari|hetauda|janakpur|madi""), ""Tier 1"",
  REGEXMATCH(LOWER(E57), ""nepalgunj|butwal|birtamod|dhangadhi|ghorahi|beni|kushma|waling|haldibari|dulegauda|baitadi|bhadrapur|syangja|parbat|myagdi|da"&amp;"ng|nuwakot|jhapa""), ""Tier 2"",
  TRUE, ""Tier 3""
)"),"Tier 3")</f>
        <v>Tier 3</v>
      </c>
      <c r="M57" s="20" t="s">
        <v>492</v>
      </c>
    </row>
    <row r="58">
      <c r="B58" s="18">
        <f>IFERROR(__xludf.DUMMYFUNCTION("""COMPUTED_VALUE"""),45857.19510416666)</f>
        <v>45857.1951</v>
      </c>
      <c r="C58" s="17" t="str">
        <f>IFERROR(__xludf.DUMMYFUNCTION("""COMPUTED_VALUE"""),"Vans 41")</f>
        <v>Vans 41</v>
      </c>
      <c r="D58" s="17" t="str">
        <f>IFERROR(__xludf.DUMMYFUNCTION("""COMPUTED_VALUE"""),"Aashish Aryal")</f>
        <v>Aashish Aryal</v>
      </c>
      <c r="E58" s="17" t="str">
        <f>IFERROR(__xludf.DUMMYFUNCTION("""COMPUTED_VALUE"""),"Sunwal 13, badera")</f>
        <v>Sunwal 13, badera</v>
      </c>
      <c r="F58" s="17">
        <f>IFERROR(__xludf.DUMMYFUNCTION("""COMPUTED_VALUE"""),9.762248226E9)</f>
        <v>9762248226</v>
      </c>
      <c r="G58" s="22">
        <f>IFERROR(__xludf.DUMMYFUNCTION("""COMPUTED_VALUE"""),700.0)</f>
        <v>700</v>
      </c>
      <c r="H58" s="22">
        <f>IFERROR(__xludf.DUMMYFUNCTION("""COMPUTED_VALUE"""),1300.0)</f>
        <v>1300</v>
      </c>
      <c r="I58" s="22">
        <f>IFERROR(__xludf.DUMMYFUNCTION("""COMPUTED_VALUE"""),232.25)</f>
        <v>232.25</v>
      </c>
      <c r="J58" s="17" t="str">
        <f>IFERROR(__xludf.DUMMYFUNCTION("""COMPUTED_VALUE"""),"Delivered")</f>
        <v>Delivered</v>
      </c>
      <c r="K58" s="18">
        <f>IFERROR(__xludf.DUMMYFUNCTION("""COMPUTED_VALUE"""),45860.359872685185)</f>
        <v>45860.35987</v>
      </c>
      <c r="L58" s="17" t="str">
        <f>IFERROR(__xludf.DUMMYFUNCTION("IFS(
  OR(REGEXMATCH(LOWER(E58), ""sirutar|sundarijal|sitapaila|duwakot|tikathali|bhaktapur|lalitpur|kathmandu|ktm|changunarayan|bageswari|ghalate|tinkune|balkot|tikathali""), REGEXMATCH(LOWER(E58), ""inside valley"")), ""Inside Valley"",
  REGEXMATCH(LOW"&amp;"ER(E58), ""dharan|pokhara|biratnagar|birgunj|narayanghat|itahari|hetauda|janakpur|madi""), ""Tier 1"",
  REGEXMATCH(LOWER(E58), ""nepalgunj|butwal|birtamod|dhangadhi|ghorahi|beni|kushma|waling|haldibari|dulegauda|baitadi|bhadrapur|syangja|parbat|myagdi|da"&amp;"ng|nuwakot|jhapa""), ""Tier 2"",
  TRUE, ""Tier 3""
)"),"Tier 3")</f>
        <v>Tier 3</v>
      </c>
      <c r="M58" s="20" t="s">
        <v>498</v>
      </c>
    </row>
    <row r="59">
      <c r="B59" s="18">
        <f>IFERROR(__xludf.DUMMYFUNCTION("""COMPUTED_VALUE"""),45822.13050925926)</f>
        <v>45822.13051</v>
      </c>
      <c r="C59" s="17" t="str">
        <f>IFERROR(__xludf.DUMMYFUNCTION("""COMPUTED_VALUE"""),"Red full size 42 skating")</f>
        <v>Red full size 42 skating</v>
      </c>
      <c r="D59" s="17" t="str">
        <f>IFERROR(__xludf.DUMMYFUNCTION("""COMPUTED_VALUE"""),"Bishwas")</f>
        <v>Bishwas</v>
      </c>
      <c r="E59" s="17" t="str">
        <f>IFERROR(__xludf.DUMMYFUNCTION("""COMPUTED_VALUE"""),"Cea high school, balaju")</f>
        <v>Cea high school, balaju</v>
      </c>
      <c r="F59" s="17">
        <f>IFERROR(__xludf.DUMMYFUNCTION("""COMPUTED_VALUE"""),9.82801524E9)</f>
        <v>9828015240</v>
      </c>
      <c r="G59" s="22">
        <f>IFERROR(__xludf.DUMMYFUNCTION("""COMPUTED_VALUE"""),300.0)</f>
        <v>300</v>
      </c>
      <c r="H59" s="22">
        <f>IFERROR(__xludf.DUMMYFUNCTION("""COMPUTED_VALUE"""),1300.0)</f>
        <v>1300</v>
      </c>
      <c r="I59" s="22">
        <f>IFERROR(__xludf.DUMMYFUNCTION("""COMPUTED_VALUE"""),62.25)</f>
        <v>62.25</v>
      </c>
      <c r="J59" s="17" t="str">
        <f>IFERROR(__xludf.DUMMYFUNCTION("""COMPUTED_VALUE"""),"Delivered")</f>
        <v>Delivered</v>
      </c>
      <c r="K59" s="18">
        <f>IFERROR(__xludf.DUMMYFUNCTION("""COMPUTED_VALUE"""),45823.447384259256)</f>
        <v>45823.44738</v>
      </c>
      <c r="L59" s="17" t="str">
        <f>IFERROR(__xludf.DUMMYFUNCTION("IFS(
  OR(REGEXMATCH(LOWER(E59), ""sirutar|sundarijal|sitapaila|duwakot|tikathali|bhaktapur|lalitpur|kathmandu|ktm|changunarayan|bageswari|ghalate|tinkune|balkot|tikathali""), REGEXMATCH(LOWER(E59), ""inside valley"")), ""Inside Valley"",
  REGEXMATCH(LOW"&amp;"ER(E59), ""dharan|pokhara|biratnagar|birgunj|narayanghat|itahari|hetauda|janakpur|madi""), ""Tier 1"",
  REGEXMATCH(LOWER(E59), ""nepalgunj|butwal|birtamod|dhangadhi|ghorahi|beni|kushma|waling|haldibari|dulegauda|baitadi|bhadrapur|syangja|parbat|myagdi|da"&amp;"ng|nuwakot|jhapa""), ""Tier 2"",
  TRUE, ""Tier 3""
)"),"Tier 3")</f>
        <v>Tier 3</v>
      </c>
      <c r="M59" s="20" t="s">
        <v>479</v>
      </c>
    </row>
    <row r="60">
      <c r="B60" s="18">
        <f>IFERROR(__xludf.DUMMYFUNCTION("""COMPUTED_VALUE"""),45822.128287037034)</f>
        <v>45822.12829</v>
      </c>
      <c r="C60" s="17" t="str">
        <f>IFERROR(__xludf.DUMMYFUNCTION("""COMPUTED_VALUE"""),"Vans size 42")</f>
        <v>Vans size 42</v>
      </c>
      <c r="D60" s="17" t="str">
        <f>IFERROR(__xludf.DUMMYFUNCTION("""COMPUTED_VALUE"""),"Abhishek")</f>
        <v>Abhishek</v>
      </c>
      <c r="E60" s="17" t="str">
        <f>IFERROR(__xludf.DUMMYFUNCTION("""COMPUTED_VALUE"""),"Biratchowk, morang")</f>
        <v>Biratchowk, morang</v>
      </c>
      <c r="F60" s="17">
        <f>IFERROR(__xludf.DUMMYFUNCTION("""COMPUTED_VALUE"""),9.803475204E9)</f>
        <v>9803475204</v>
      </c>
      <c r="G60" s="22">
        <f>IFERROR(__xludf.DUMMYFUNCTION("""COMPUTED_VALUE"""),700.0)</f>
        <v>700</v>
      </c>
      <c r="H60" s="22">
        <f>IFERROR(__xludf.DUMMYFUNCTION("""COMPUTED_VALUE"""),1300.0)</f>
        <v>1300</v>
      </c>
      <c r="I60" s="22">
        <f>IFERROR(__xludf.DUMMYFUNCTION("""COMPUTED_VALUE"""),82.25)</f>
        <v>82.25</v>
      </c>
      <c r="J60" s="17" t="str">
        <f>IFERROR(__xludf.DUMMYFUNCTION("""COMPUTED_VALUE"""),"Delivered")</f>
        <v>Delivered</v>
      </c>
      <c r="K60" s="18">
        <f>IFERROR(__xludf.DUMMYFUNCTION("""COMPUTED_VALUE"""),45827.51219907407)</f>
        <v>45827.5122</v>
      </c>
      <c r="L60" s="17" t="str">
        <f>IFERROR(__xludf.DUMMYFUNCTION("IFS(
  OR(REGEXMATCH(LOWER(E60), ""sirutar|sundarijal|sitapaila|duwakot|tikathali|bhaktapur|lalitpur|kathmandu|ktm|changunarayan|bageswari|ghalate|tinkune|balkot|tikathali""), REGEXMATCH(LOWER(E60), ""inside valley"")), ""Inside Valley"",
  REGEXMATCH(LOW"&amp;"ER(E60), ""dharan|pokhara|biratnagar|birgunj|narayanghat|itahari|hetauda|janakpur|madi""), ""Tier 1"",
  REGEXMATCH(LOWER(E60), ""nepalgunj|butwal|birtamod|dhangadhi|ghorahi|beni|kushma|waling|haldibari|dulegauda|baitadi|bhadrapur|syangja|parbat|myagdi|da"&amp;"ng|nuwakot|jhapa""), ""Tier 2"",
  TRUE, ""Tier 3""
)"),"Tier 3")</f>
        <v>Tier 3</v>
      </c>
      <c r="M60" s="20" t="s">
        <v>474</v>
      </c>
    </row>
    <row r="61">
      <c r="B61" s="18">
        <f>IFERROR(__xludf.DUMMYFUNCTION("""COMPUTED_VALUE"""),45813.1583912037)</f>
        <v>45813.15839</v>
      </c>
      <c r="C61" s="17" t="str">
        <f>IFERROR(__xludf.DUMMYFUNCTION("""COMPUTED_VALUE"""),"Brown Nike size 38")</f>
        <v>Brown Nike size 38</v>
      </c>
      <c r="D61" s="17" t="str">
        <f>IFERROR(__xludf.DUMMYFUNCTION("""COMPUTED_VALUE"""),"Mousam lama")</f>
        <v>Mousam lama</v>
      </c>
      <c r="E61" s="17" t="str">
        <f>IFERROR(__xludf.DUMMYFUNCTION("""COMPUTED_VALUE"""),"Bhadrapur-2, jhapa, sagarmatha")</f>
        <v>Bhadrapur-2, jhapa, sagarmatha</v>
      </c>
      <c r="F61" s="17">
        <f>IFERROR(__xludf.DUMMYFUNCTION("""COMPUTED_VALUE"""),9.70776491E9)</f>
        <v>9707764910</v>
      </c>
      <c r="G61" s="22">
        <f>IFERROR(__xludf.DUMMYFUNCTION("""COMPUTED_VALUE"""),300.0)</f>
        <v>300</v>
      </c>
      <c r="H61" s="22">
        <f>IFERROR(__xludf.DUMMYFUNCTION("""COMPUTED_VALUE"""),1300.0)</f>
        <v>1300</v>
      </c>
      <c r="I61" s="22">
        <f>IFERROR(__xludf.DUMMYFUNCTION("""COMPUTED_VALUE"""),82.25)</f>
        <v>82.25</v>
      </c>
      <c r="J61" s="17" t="str">
        <f>IFERROR(__xludf.DUMMYFUNCTION("""COMPUTED_VALUE"""),"Delivered")</f>
        <v>Delivered</v>
      </c>
      <c r="K61" s="18">
        <f>IFERROR(__xludf.DUMMYFUNCTION("""COMPUTED_VALUE"""),45822.32089120371)</f>
        <v>45822.32089</v>
      </c>
      <c r="L61" s="17" t="str">
        <f>IFERROR(__xludf.DUMMYFUNCTION("IFS(
  OR(REGEXMATCH(LOWER(E61), ""sirutar|sundarijal|sitapaila|duwakot|tikathali|bhaktapur|lalitpur|kathmandu|ktm|changunarayan|bageswari|ghalate|tinkune|balkot|tikathali""), REGEXMATCH(LOWER(E61), ""inside valley"")), ""Inside Valley"",
  REGEXMATCH(LOW"&amp;"ER(E61), ""dharan|pokhara|biratnagar|birgunj|narayanghat|itahari|hetauda|janakpur|madi""), ""Tier 1"",
  REGEXMATCH(LOWER(E61), ""nepalgunj|butwal|birtamod|dhangadhi|ghorahi|beni|kushma|waling|haldibari|dulegauda|baitadi|bhadrapur|syangja|parbat|myagdi|da"&amp;"ng|nuwakot|jhapa""), ""Tier 2"",
  TRUE, ""Tier 3""
)"),"Tier 2")</f>
        <v>Tier 2</v>
      </c>
      <c r="M61" s="20" t="s">
        <v>474</v>
      </c>
    </row>
    <row r="62">
      <c r="B62" s="18">
        <f>IFERROR(__xludf.DUMMYFUNCTION("""COMPUTED_VALUE"""),45812.194236111114)</f>
        <v>45812.19424</v>
      </c>
      <c r="C62" s="17" t="str">
        <f>IFERROR(__xludf.DUMMYFUNCTION("""COMPUTED_VALUE"""),"Martin size 41 double sole")</f>
        <v>Martin size 41 double sole</v>
      </c>
      <c r="D62" s="17" t="str">
        <f>IFERROR(__xludf.DUMMYFUNCTION("""COMPUTED_VALUE"""),"Abhishek tamang")</f>
        <v>Abhishek tamang</v>
      </c>
      <c r="E62" s="17" t="str">
        <f>IFERROR(__xludf.DUMMYFUNCTION("""COMPUTED_VALUE"""),"Itahari, sathi petrol pump")</f>
        <v>Itahari, sathi petrol pump</v>
      </c>
      <c r="F62" s="17">
        <f>IFERROR(__xludf.DUMMYFUNCTION("""COMPUTED_VALUE"""),9.766341801E9)</f>
        <v>9766341801</v>
      </c>
      <c r="G62" s="22">
        <f>IFERROR(__xludf.DUMMYFUNCTION("""COMPUTED_VALUE"""),600.0)</f>
        <v>600</v>
      </c>
      <c r="H62" s="22">
        <f>IFERROR(__xludf.DUMMYFUNCTION("""COMPUTED_VALUE"""),1600.0)</f>
        <v>1600</v>
      </c>
      <c r="I62" s="22">
        <f>IFERROR(__xludf.DUMMYFUNCTION("""COMPUTED_VALUE"""),83.0)</f>
        <v>83</v>
      </c>
      <c r="J62" s="17" t="str">
        <f>IFERROR(__xludf.DUMMYFUNCTION("""COMPUTED_VALUE"""),"Delivered")</f>
        <v>Delivered</v>
      </c>
      <c r="K62" s="18">
        <f>IFERROR(__xludf.DUMMYFUNCTION("""COMPUTED_VALUE"""),45815.330034722225)</f>
        <v>45815.33003</v>
      </c>
      <c r="L62" s="17" t="str">
        <f>IFERROR(__xludf.DUMMYFUNCTION("IFS(
  OR(REGEXMATCH(LOWER(E62), ""sirutar|sundarijal|sitapaila|duwakot|tikathali|bhaktapur|lalitpur|kathmandu|ktm|changunarayan|bageswari|ghalate|tinkune|balkot|tikathali""), REGEXMATCH(LOWER(E62), ""inside valley"")), ""Inside Valley"",
  REGEXMATCH(LOW"&amp;"ER(E62), ""dharan|pokhara|biratnagar|birgunj|narayanghat|itahari|hetauda|janakpur|madi""), ""Tier 1"",
  REGEXMATCH(LOWER(E62), ""nepalgunj|butwal|birtamod|dhangadhi|ghorahi|beni|kushma|waling|haldibari|dulegauda|baitadi|bhadrapur|syangja|parbat|myagdi|da"&amp;"ng|nuwakot|jhapa""), ""Tier 2"",
  TRUE, ""Tier 3""
)"),"Tier 1")</f>
        <v>Tier 1</v>
      </c>
      <c r="M62" s="20" t="s">
        <v>474</v>
      </c>
    </row>
    <row r="63">
      <c r="B63" s="18">
        <f>IFERROR(__xludf.DUMMYFUNCTION("""COMPUTED_VALUE"""),45812.19016203703)</f>
        <v>45812.19016</v>
      </c>
      <c r="C63" s="17" t="str">
        <f>IFERROR(__xludf.DUMMYFUNCTION("""COMPUTED_VALUE"""),"Martin double sole size 40")</f>
        <v>Martin double sole size 40</v>
      </c>
      <c r="D63" s="17" t="str">
        <f>IFERROR(__xludf.DUMMYFUNCTION("""COMPUTED_VALUE"""),"Krishna shrestha ")</f>
        <v>Krishna shrestha </v>
      </c>
      <c r="E63" s="17" t="str">
        <f>IFERROR(__xludf.DUMMYFUNCTION("""COMPUTED_VALUE"""),"Syangja District, waling municipality")</f>
        <v>Syangja District, waling municipality</v>
      </c>
      <c r="F63" s="17">
        <f>IFERROR(__xludf.DUMMYFUNCTION("""COMPUTED_VALUE"""),9.816675875E9)</f>
        <v>9816675875</v>
      </c>
      <c r="G63" s="22">
        <f>IFERROR(__xludf.DUMMYFUNCTION("""COMPUTED_VALUE"""),550.0)</f>
        <v>550</v>
      </c>
      <c r="H63" s="22">
        <f>IFERROR(__xludf.DUMMYFUNCTION("""COMPUTED_VALUE"""),1550.0)</f>
        <v>1550</v>
      </c>
      <c r="I63" s="22">
        <f>IFERROR(__xludf.DUMMYFUNCTION("""COMPUTED_VALUE"""),82.88)</f>
        <v>82.88</v>
      </c>
      <c r="J63" s="17" t="str">
        <f>IFERROR(__xludf.DUMMYFUNCTION("""COMPUTED_VALUE"""),"Delivered")</f>
        <v>Delivered</v>
      </c>
      <c r="K63" s="18">
        <f>IFERROR(__xludf.DUMMYFUNCTION("""COMPUTED_VALUE"""),45814.104895833334)</f>
        <v>45814.1049</v>
      </c>
      <c r="L63" s="17" t="str">
        <f>IFERROR(__xludf.DUMMYFUNCTION("IFS(
  OR(REGEXMATCH(LOWER(E63), ""sirutar|sundarijal|sitapaila|duwakot|tikathali|bhaktapur|lalitpur|kathmandu|ktm|changunarayan|bageswari|ghalate|tinkune|balkot|tikathali""), REGEXMATCH(LOWER(E63), ""inside valley"")), ""Inside Valley"",
  REGEXMATCH(LOW"&amp;"ER(E63), ""dharan|pokhara|biratnagar|birgunj|narayanghat|itahari|hetauda|janakpur|madi""), ""Tier 1"",
  REGEXMATCH(LOWER(E63), ""nepalgunj|butwal|birtamod|dhangadhi|ghorahi|beni|kushma|waling|haldibari|dulegauda|baitadi|bhadrapur|syangja|parbat|myagdi|da"&amp;"ng|nuwakot|jhapa""), ""Tier 2"",
  TRUE, ""Tier 3""
)"),"Tier 2")</f>
        <v>Tier 2</v>
      </c>
      <c r="M63" s="20" t="s">
        <v>482</v>
      </c>
    </row>
    <row r="64">
      <c r="B64" s="18">
        <f>IFERROR(__xludf.DUMMYFUNCTION("""COMPUTED_VALUE"""),45812.1859375)</f>
        <v>45812.18594</v>
      </c>
      <c r="C64" s="17" t="str">
        <f>IFERROR(__xludf.DUMMYFUNCTION("""COMPUTED_VALUE"""),"Utsav Nike 40 ")</f>
        <v>Utsav Nike 40 </v>
      </c>
      <c r="D64" s="17" t="str">
        <f>IFERROR(__xludf.DUMMYFUNCTION("""COMPUTED_VALUE"""),"Adib aslam")</f>
        <v>Adib aslam</v>
      </c>
      <c r="E64" s="17" t="str">
        <f>IFERROR(__xludf.DUMMYFUNCTION("""COMPUTED_VALUE"""),"Near kinderjoy montessori, tikathali")</f>
        <v>Near kinderjoy montessori, tikathali</v>
      </c>
      <c r="F64" s="17">
        <f>IFERROR(__xludf.DUMMYFUNCTION("""COMPUTED_VALUE"""),9.76900403E9)</f>
        <v>9769004030</v>
      </c>
      <c r="G64" s="22">
        <f>IFERROR(__xludf.DUMMYFUNCTION("""COMPUTED_VALUE"""),400.0)</f>
        <v>400</v>
      </c>
      <c r="H64" s="22">
        <f>IFERROR(__xludf.DUMMYFUNCTION("""COMPUTED_VALUE"""),1200.0)</f>
        <v>1200</v>
      </c>
      <c r="I64" s="22">
        <f>IFERROR(__xludf.DUMMYFUNCTION("""COMPUTED_VALUE"""),62.0)</f>
        <v>62</v>
      </c>
      <c r="J64" s="17" t="str">
        <f>IFERROR(__xludf.DUMMYFUNCTION("""COMPUTED_VALUE"""),"Delivered")</f>
        <v>Delivered</v>
      </c>
      <c r="K64" s="18">
        <f>IFERROR(__xludf.DUMMYFUNCTION("""COMPUTED_VALUE"""),45812.573472222226)</f>
        <v>45812.57347</v>
      </c>
      <c r="L64" s="17" t="str">
        <f>IFERROR(__xludf.DUMMYFUNCTION("IFS(
  OR(REGEXMATCH(LOWER(E64), ""sirutar|sundarijal|sitapaila|duwakot|tikathali|bhaktapur|lalitpur|kathmandu|ktm|changunarayan|bageswari|ghalate|tinkune|balkot|tikathali""), REGEXMATCH(LOWER(E64), ""inside valley"")), ""Inside Valley"",
  REGEXMATCH(LOW"&amp;"ER(E64), ""dharan|pokhara|biratnagar|birgunj|narayanghat|itahari|hetauda|janakpur|madi""), ""Tier 1"",
  REGEXMATCH(LOWER(E64), ""nepalgunj|butwal|birtamod|dhangadhi|ghorahi|beni|kushma|waling|haldibari|dulegauda|baitadi|bhadrapur|syangja|parbat|myagdi|da"&amp;"ng|nuwakot|jhapa""), ""Tier 2"",
  TRUE, ""Tier 3""
)"),"Inside Valley")</f>
        <v>Inside Valley</v>
      </c>
      <c r="M64" s="20" t="s">
        <v>479</v>
      </c>
    </row>
    <row r="65">
      <c r="B65" s="18">
        <f>IFERROR(__xludf.DUMMYFUNCTION("""COMPUTED_VALUE"""),45812.18383101852)</f>
        <v>45812.18383</v>
      </c>
      <c r="C65" s="17" t="str">
        <f>IFERROR(__xludf.DUMMYFUNCTION("""COMPUTED_VALUE"""),"Vans and Nike size 41 and 42")</f>
        <v>Vans and Nike size 41 and 42</v>
      </c>
      <c r="D65" s="17" t="str">
        <f>IFERROR(__xludf.DUMMYFUNCTION("""COMPUTED_VALUE"""),"Sandip pariyar")</f>
        <v>Sandip pariyar</v>
      </c>
      <c r="E65" s="17" t="str">
        <f>IFERROR(__xludf.DUMMYFUNCTION("""COMPUTED_VALUE"""),"Pokhara, leknath argau chowk")</f>
        <v>Pokhara, leknath argau chowk</v>
      </c>
      <c r="F65" s="17">
        <f>IFERROR(__xludf.DUMMYFUNCTION("""COMPUTED_VALUE"""),9.814744722E9)</f>
        <v>9814744722</v>
      </c>
      <c r="G65" s="22">
        <f>IFERROR(__xludf.DUMMYFUNCTION("""COMPUTED_VALUE"""),900.0)</f>
        <v>900</v>
      </c>
      <c r="H65" s="22">
        <f>IFERROR(__xludf.DUMMYFUNCTION("""COMPUTED_VALUE"""),2500.0)</f>
        <v>2500</v>
      </c>
      <c r="I65" s="22">
        <f>IFERROR(__xludf.DUMMYFUNCTION("""COMPUTED_VALUE"""),85.25)</f>
        <v>85.25</v>
      </c>
      <c r="J65" s="17" t="str">
        <f>IFERROR(__xludf.DUMMYFUNCTION("""COMPUTED_VALUE"""),"Delivered")</f>
        <v>Delivered</v>
      </c>
      <c r="K65" s="18">
        <f>IFERROR(__xludf.DUMMYFUNCTION("""COMPUTED_VALUE"""),45814.34135416667)</f>
        <v>45814.34135</v>
      </c>
      <c r="L65" s="17" t="str">
        <f>IFERROR(__xludf.DUMMYFUNCTION("IFS(
  OR(REGEXMATCH(LOWER(E65), ""sirutar|sundarijal|sitapaila|duwakot|tikathali|bhaktapur|lalitpur|kathmandu|ktm|changunarayan|bageswari|ghalate|tinkune|balkot|tikathali""), REGEXMATCH(LOWER(E65), ""inside valley"")), ""Inside Valley"",
  REGEXMATCH(LOW"&amp;"ER(E65), ""dharan|pokhara|biratnagar|birgunj|narayanghat|itahari|hetauda|janakpur|madi""), ""Tier 1"",
  REGEXMATCH(LOWER(E65), ""nepalgunj|butwal|birtamod|dhangadhi|ghorahi|beni|kushma|waling|haldibari|dulegauda|baitadi|bhadrapur|syangja|parbat|myagdi|da"&amp;"ng|nuwakot|jhapa""), ""Tier 2"",
  TRUE, ""Tier 3""
)"),"Tier 1")</f>
        <v>Tier 1</v>
      </c>
      <c r="M65" s="20" t="s">
        <v>482</v>
      </c>
    </row>
    <row r="66">
      <c r="B66" s="18">
        <f>IFERROR(__xludf.DUMMYFUNCTION("""COMPUTED_VALUE"""),45812.18256944444)</f>
        <v>45812.18257</v>
      </c>
      <c r="C66" s="17" t="str">
        <f>IFERROR(__xludf.DUMMYFUNCTION("""COMPUTED_VALUE"""),"Nike size 43")</f>
        <v>Nike size 43</v>
      </c>
      <c r="D66" s="17" t="str">
        <f>IFERROR(__xludf.DUMMYFUNCTION("""COMPUTED_VALUE"""),"Digital chaudhary")</f>
        <v>Digital chaudhary</v>
      </c>
      <c r="E66" s="17" t="str">
        <f>IFERROR(__xludf.DUMMYFUNCTION("""COMPUTED_VALUE"""),"Saptari, kalyanpur")</f>
        <v>Saptari, kalyanpur</v>
      </c>
      <c r="F66" s="17">
        <f>IFERROR(__xludf.DUMMYFUNCTION("""COMPUTED_VALUE"""),9.828836978E9)</f>
        <v>9828836978</v>
      </c>
      <c r="G66" s="22">
        <f>IFERROR(__xludf.DUMMYFUNCTION("""COMPUTED_VALUE"""),300.0)</f>
        <v>300</v>
      </c>
      <c r="H66" s="22">
        <f>IFERROR(__xludf.DUMMYFUNCTION("""COMPUTED_VALUE"""),1300.0)</f>
        <v>1300</v>
      </c>
      <c r="I66" s="22">
        <f>IFERROR(__xludf.DUMMYFUNCTION("""COMPUTED_VALUE"""),82.25)</f>
        <v>82.25</v>
      </c>
      <c r="J66" s="17" t="str">
        <f>IFERROR(__xludf.DUMMYFUNCTION("""COMPUTED_VALUE"""),"Delivered")</f>
        <v>Delivered</v>
      </c>
      <c r="K66" s="18">
        <f>IFERROR(__xludf.DUMMYFUNCTION("""COMPUTED_VALUE"""),45813.43583333334)</f>
        <v>45813.43583</v>
      </c>
      <c r="L66" s="17" t="str">
        <f>IFERROR(__xludf.DUMMYFUNCTION("IFS(
  OR(REGEXMATCH(LOWER(E66), ""sirutar|sundarijal|sitapaila|duwakot|tikathali|bhaktapur|lalitpur|kathmandu|ktm|changunarayan|bageswari|ghalate|tinkune|balkot|tikathali""), REGEXMATCH(LOWER(E66), ""inside valley"")), ""Inside Valley"",
  REGEXMATCH(LOW"&amp;"ER(E66), ""dharan|pokhara|biratnagar|birgunj|narayanghat|itahari|hetauda|janakpur|madi""), ""Tier 1"",
  REGEXMATCH(LOWER(E66), ""nepalgunj|butwal|birtamod|dhangadhi|ghorahi|beni|kushma|waling|haldibari|dulegauda|baitadi|bhadrapur|syangja|parbat|myagdi|da"&amp;"ng|nuwakot|jhapa""), ""Tier 2"",
  TRUE, ""Tier 3""
)"),"Tier 3")</f>
        <v>Tier 3</v>
      </c>
      <c r="M66" s="20" t="s">
        <v>487</v>
      </c>
    </row>
    <row r="67">
      <c r="B67" s="18">
        <f>IFERROR(__xludf.DUMMYFUNCTION("""COMPUTED_VALUE"""),45811.2071875)</f>
        <v>45811.20719</v>
      </c>
      <c r="C67" s="17" t="str">
        <f>IFERROR(__xludf.DUMMYFUNCTION("""COMPUTED_VALUE"""),"Samba shoes size 42")</f>
        <v>Samba shoes size 42</v>
      </c>
      <c r="D67" s="17" t="str">
        <f>IFERROR(__xludf.DUMMYFUNCTION("""COMPUTED_VALUE"""),"Aashish basnet")</f>
        <v>Aashish basnet</v>
      </c>
      <c r="E67" s="17" t="str">
        <f>IFERROR(__xludf.DUMMYFUNCTION("""COMPUTED_VALUE"""),"Sainamaina 9, basgandhi rupandehi")</f>
        <v>Sainamaina 9, basgandhi rupandehi</v>
      </c>
      <c r="F67" s="17">
        <f>IFERROR(__xludf.DUMMYFUNCTION("""COMPUTED_VALUE"""),9.840784344E9)</f>
        <v>9840784344</v>
      </c>
      <c r="G67" s="22">
        <f>IFERROR(__xludf.DUMMYFUNCTION("""COMPUTED_VALUE"""),300.0)</f>
        <v>300</v>
      </c>
      <c r="H67" s="22">
        <f>IFERROR(__xludf.DUMMYFUNCTION("""COMPUTED_VALUE"""),1300.0)</f>
        <v>1300</v>
      </c>
      <c r="I67" s="22">
        <f>IFERROR(__xludf.DUMMYFUNCTION("""COMPUTED_VALUE"""),82.25)</f>
        <v>82.25</v>
      </c>
      <c r="J67" s="17" t="str">
        <f>IFERROR(__xludf.DUMMYFUNCTION("""COMPUTED_VALUE"""),"Delivered")</f>
        <v>Delivered</v>
      </c>
      <c r="K67" s="18">
        <f>IFERROR(__xludf.DUMMYFUNCTION("""COMPUTED_VALUE"""),45812.31383101852)</f>
        <v>45812.31383</v>
      </c>
      <c r="L67" s="17" t="str">
        <f>IFERROR(__xludf.DUMMYFUNCTION("IFS(
  OR(REGEXMATCH(LOWER(E67), ""sirutar|sundarijal|sitapaila|duwakot|tikathali|bhaktapur|lalitpur|kathmandu|ktm|changunarayan|bageswari|ghalate|tinkune|balkot|tikathali""), REGEXMATCH(LOWER(E67), ""inside valley"")), ""Inside Valley"",
  REGEXMATCH(LOW"&amp;"ER(E67), ""dharan|pokhara|biratnagar|birgunj|narayanghat|itahari|hetauda|janakpur|madi""), ""Tier 1"",
  REGEXMATCH(LOWER(E67), ""nepalgunj|butwal|birtamod|dhangadhi|ghorahi|beni|kushma|waling|haldibari|dulegauda|baitadi|bhadrapur|syangja|parbat|myagdi|da"&amp;"ng|nuwakot|jhapa""), ""Tier 2"",
  TRUE, ""Tier 3""
)"),"Tier 3")</f>
        <v>Tier 3</v>
      </c>
      <c r="M67" s="20" t="s">
        <v>498</v>
      </c>
    </row>
    <row r="68">
      <c r="B68" s="18">
        <f>IFERROR(__xludf.DUMMYFUNCTION("""COMPUTED_VALUE"""),45811.20578703703)</f>
        <v>45811.20579</v>
      </c>
      <c r="C68" s="17" t="str">
        <f>IFERROR(__xludf.DUMMYFUNCTION("""COMPUTED_VALUE"""),"Vans shoes size 43")</f>
        <v>Vans shoes size 43</v>
      </c>
      <c r="D68" s="17" t="str">
        <f>IFERROR(__xludf.DUMMYFUNCTION("""COMPUTED_VALUE"""),"Sujal")</f>
        <v>Sujal</v>
      </c>
      <c r="E68" s="17" t="str">
        <f>IFERROR(__xludf.DUMMYFUNCTION("""COMPUTED_VALUE"""),"Pokhara birauta, ram mandir")</f>
        <v>Pokhara birauta, ram mandir</v>
      </c>
      <c r="F68" s="17">
        <f>IFERROR(__xludf.DUMMYFUNCTION("""COMPUTED_VALUE"""),9.826664765E9)</f>
        <v>9826664765</v>
      </c>
      <c r="G68" s="22">
        <f>IFERROR(__xludf.DUMMYFUNCTION("""COMPUTED_VALUE"""),700.0)</f>
        <v>700</v>
      </c>
      <c r="H68" s="22">
        <f>IFERROR(__xludf.DUMMYFUNCTION("""COMPUTED_VALUE"""),1300.0)</f>
        <v>1300</v>
      </c>
      <c r="I68" s="22">
        <f>IFERROR(__xludf.DUMMYFUNCTION("""COMPUTED_VALUE"""),82.25)</f>
        <v>82.25</v>
      </c>
      <c r="J68" s="17" t="str">
        <f>IFERROR(__xludf.DUMMYFUNCTION("""COMPUTED_VALUE"""),"Delivered")</f>
        <v>Delivered</v>
      </c>
      <c r="K68" s="18">
        <f>IFERROR(__xludf.DUMMYFUNCTION("""COMPUTED_VALUE"""),45812.445810185185)</f>
        <v>45812.44581</v>
      </c>
      <c r="L68" s="17" t="str">
        <f>IFERROR(__xludf.DUMMYFUNCTION("IFS(
  OR(REGEXMATCH(LOWER(E68), ""sirutar|sundarijal|sitapaila|duwakot|tikathali|bhaktapur|lalitpur|kathmandu|ktm|changunarayan|bageswari|ghalate|tinkune|balkot|tikathali""), REGEXMATCH(LOWER(E68), ""inside valley"")), ""Inside Valley"",
  REGEXMATCH(LOW"&amp;"ER(E68), ""dharan|pokhara|biratnagar|birgunj|narayanghat|itahari|hetauda|janakpur|madi""), ""Tier 1"",
  REGEXMATCH(LOWER(E68), ""nepalgunj|butwal|birtamod|dhangadhi|ghorahi|beni|kushma|waling|haldibari|dulegauda|baitadi|bhadrapur|syangja|parbat|myagdi|da"&amp;"ng|nuwakot|jhapa""), ""Tier 2"",
  TRUE, ""Tier 3""
)"),"Tier 1")</f>
        <v>Tier 1</v>
      </c>
      <c r="M68" s="20" t="s">
        <v>482</v>
      </c>
    </row>
    <row r="69">
      <c r="B69" s="18">
        <f>IFERROR(__xludf.DUMMYFUNCTION("""COMPUTED_VALUE"""),45811.20447916667)</f>
        <v>45811.20448</v>
      </c>
      <c r="C69" s="17" t="str">
        <f>IFERROR(__xludf.DUMMYFUNCTION("""COMPUTED_VALUE"""),"Sr shoes size 42")</f>
        <v>Sr shoes size 42</v>
      </c>
      <c r="D69" s="17" t="str">
        <f>IFERROR(__xludf.DUMMYFUNCTION("""COMPUTED_VALUE"""),"Adib aslam")</f>
        <v>Adib aslam</v>
      </c>
      <c r="E69" s="17" t="str">
        <f>IFERROR(__xludf.DUMMYFUNCTION("""COMPUTED_VALUE"""),"Near kinderjoy Montessori, tikathali")</f>
        <v>Near kinderjoy Montessori, tikathali</v>
      </c>
      <c r="F69" s="17">
        <f>IFERROR(__xludf.DUMMYFUNCTION("""COMPUTED_VALUE"""),9.76900403E9)</f>
        <v>9769004030</v>
      </c>
      <c r="G69" s="22">
        <f>IFERROR(__xludf.DUMMYFUNCTION("""COMPUTED_VALUE"""),400.0)</f>
        <v>400</v>
      </c>
      <c r="H69" s="22">
        <f>IFERROR(__xludf.DUMMYFUNCTION("""COMPUTED_VALUE"""),1400.0)</f>
        <v>1400</v>
      </c>
      <c r="I69" s="22">
        <f>IFERROR(__xludf.DUMMYFUNCTION("""COMPUTED_VALUE"""),62.5)</f>
        <v>62.5</v>
      </c>
      <c r="J69" s="17" t="str">
        <f>IFERROR(__xludf.DUMMYFUNCTION("""COMPUTED_VALUE"""),"Delivered")</f>
        <v>Delivered</v>
      </c>
      <c r="K69" s="18">
        <f>IFERROR(__xludf.DUMMYFUNCTION("""COMPUTED_VALUE"""),45812.40385416667)</f>
        <v>45812.40385</v>
      </c>
      <c r="L69" s="17" t="str">
        <f>IFERROR(__xludf.DUMMYFUNCTION("IFS(
  OR(REGEXMATCH(LOWER(E69), ""sirutar|sundarijal|sitapaila|duwakot|tikathali|bhaktapur|lalitpur|kathmandu|ktm|changunarayan|bageswari|ghalate|tinkune|balkot|tikathali""), REGEXMATCH(LOWER(E69), ""inside valley"")), ""Inside Valley"",
  REGEXMATCH(LOW"&amp;"ER(E69), ""dharan|pokhara|biratnagar|birgunj|narayanghat|itahari|hetauda|janakpur|madi""), ""Tier 1"",
  REGEXMATCH(LOWER(E69), ""nepalgunj|butwal|birtamod|dhangadhi|ghorahi|beni|kushma|waling|haldibari|dulegauda|baitadi|bhadrapur|syangja|parbat|myagdi|da"&amp;"ng|nuwakot|jhapa""), ""Tier 2"",
  TRUE, ""Tier 3""
)"),"Inside Valley")</f>
        <v>Inside Valley</v>
      </c>
      <c r="M69" s="20" t="s">
        <v>479</v>
      </c>
    </row>
    <row r="70">
      <c r="B70" s="18">
        <f>IFERROR(__xludf.DUMMYFUNCTION("""COMPUTED_VALUE"""),45811.201932870375)</f>
        <v>45811.20193</v>
      </c>
      <c r="C70" s="17" t="str">
        <f>IFERROR(__xludf.DUMMYFUNCTION("""COMPUTED_VALUE"""),"Nike black n white sports size 42")</f>
        <v>Nike black n white sports size 42</v>
      </c>
      <c r="D70" s="17" t="str">
        <f>IFERROR(__xludf.DUMMYFUNCTION("""COMPUTED_VALUE"""),"Mani Yadav")</f>
        <v>Mani Yadav</v>
      </c>
      <c r="E70" s="17" t="str">
        <f>IFERROR(__xludf.DUMMYFUNCTION("""COMPUTED_VALUE"""),"Pokhariya nagarpalika, basanpur tole")</f>
        <v>Pokhariya nagarpalika, basanpur tole</v>
      </c>
      <c r="F70" s="17">
        <f>IFERROR(__xludf.DUMMYFUNCTION("""COMPUTED_VALUE"""),9.805199354E9)</f>
        <v>9805199354</v>
      </c>
      <c r="G70" s="22">
        <f>IFERROR(__xludf.DUMMYFUNCTION("""COMPUTED_VALUE"""),300.0)</f>
        <v>300</v>
      </c>
      <c r="H70" s="22">
        <f>IFERROR(__xludf.DUMMYFUNCTION("""COMPUTED_VALUE"""),1300.0)</f>
        <v>1300</v>
      </c>
      <c r="I70" s="22">
        <f>IFERROR(__xludf.DUMMYFUNCTION("""COMPUTED_VALUE"""),82.25)</f>
        <v>82.25</v>
      </c>
      <c r="J70" s="17" t="str">
        <f>IFERROR(__xludf.DUMMYFUNCTION("""COMPUTED_VALUE"""),"Delivered")</f>
        <v>Delivered</v>
      </c>
      <c r="K70" s="18">
        <f>IFERROR(__xludf.DUMMYFUNCTION("""COMPUTED_VALUE"""),45816.25824074074)</f>
        <v>45816.25824</v>
      </c>
      <c r="L70" s="17" t="str">
        <f>IFERROR(__xludf.DUMMYFUNCTION("IFS(
  OR(REGEXMATCH(LOWER(E70), ""sirutar|sundarijal|sitapaila|duwakot|tikathali|bhaktapur|lalitpur|kathmandu|ktm|changunarayan|bageswari|ghalate|tinkune|balkot|tikathali""), REGEXMATCH(LOWER(E70), ""inside valley"")), ""Inside Valley"",
  REGEXMATCH(LOW"&amp;"ER(E70), ""dharan|pokhara|biratnagar|birgunj|narayanghat|itahari|hetauda|janakpur|madi""), ""Tier 1"",
  REGEXMATCH(LOWER(E70), ""nepalgunj|butwal|birtamod|dhangadhi|ghorahi|beni|kushma|waling|haldibari|dulegauda|baitadi|bhadrapur|syangja|parbat|myagdi|da"&amp;"ng|nuwakot|jhapa""), ""Tier 2"",
  TRUE, ""Tier 3""
)"),"Tier 3")</f>
        <v>Tier 3</v>
      </c>
      <c r="M70" s="20" t="s">
        <v>487</v>
      </c>
    </row>
    <row r="71">
      <c r="B71" s="18">
        <f>IFERROR(__xludf.DUMMYFUNCTION("""COMPUTED_VALUE"""),45811.196504629625)</f>
        <v>45811.1965</v>
      </c>
      <c r="C71" s="17" t="str">
        <f>IFERROR(__xludf.DUMMYFUNCTION("""COMPUTED_VALUE"""),"Utsav shoes size 42")</f>
        <v>Utsav shoes size 42</v>
      </c>
      <c r="D71" s="17" t="str">
        <f>IFERROR(__xludf.DUMMYFUNCTION("""COMPUTED_VALUE"""),"Dipen khadka")</f>
        <v>Dipen khadka</v>
      </c>
      <c r="E71" s="17" t="str">
        <f>IFERROR(__xludf.DUMMYFUNCTION("""COMPUTED_VALUE"""),"Bharatpur 21, parbatipur")</f>
        <v>Bharatpur 21, parbatipur</v>
      </c>
      <c r="F71" s="17">
        <f>IFERROR(__xludf.DUMMYFUNCTION("""COMPUTED_VALUE"""),9.746280186E9)</f>
        <v>9746280186</v>
      </c>
      <c r="G71" s="22">
        <f>IFERROR(__xludf.DUMMYFUNCTION("""COMPUTED_VALUE"""),500.0)</f>
        <v>500</v>
      </c>
      <c r="H71" s="22">
        <f>IFERROR(__xludf.DUMMYFUNCTION("""COMPUTED_VALUE"""),1300.0)</f>
        <v>1300</v>
      </c>
      <c r="I71" s="22">
        <f>IFERROR(__xludf.DUMMYFUNCTION("""COMPUTED_VALUE"""),82.25)</f>
        <v>82.25</v>
      </c>
      <c r="J71" s="17" t="str">
        <f>IFERROR(__xludf.DUMMYFUNCTION("""COMPUTED_VALUE"""),"Delivered")</f>
        <v>Delivered</v>
      </c>
      <c r="K71" s="18">
        <f>IFERROR(__xludf.DUMMYFUNCTION("""COMPUTED_VALUE"""),45816.42743055556)</f>
        <v>45816.42743</v>
      </c>
      <c r="L71" s="17" t="str">
        <f>IFERROR(__xludf.DUMMYFUNCTION("IFS(
  OR(REGEXMATCH(LOWER(E71), ""sirutar|sundarijal|sitapaila|duwakot|tikathali|bhaktapur|lalitpur|kathmandu|ktm|changunarayan|bageswari|ghalate|tinkune|balkot|tikathali""), REGEXMATCH(LOWER(E71), ""inside valley"")), ""Inside Valley"",
  REGEXMATCH(LOW"&amp;"ER(E71), ""dharan|pokhara|biratnagar|birgunj|narayanghat|itahari|hetauda|janakpur|madi""), ""Tier 1"",
  REGEXMATCH(LOWER(E71), ""nepalgunj|butwal|birtamod|dhangadhi|ghorahi|beni|kushma|waling|haldibari|dulegauda|baitadi|bhadrapur|syangja|parbat|myagdi|da"&amp;"ng|nuwakot|jhapa""), ""Tier 2"",
  TRUE, ""Tier 3""
)"),"Tier 2")</f>
        <v>Tier 2</v>
      </c>
      <c r="M71" s="20" t="s">
        <v>479</v>
      </c>
    </row>
    <row r="72">
      <c r="B72" s="18">
        <f>IFERROR(__xludf.DUMMYFUNCTION("""COMPUTED_VALUE"""),45811.19473379629)</f>
        <v>45811.19473</v>
      </c>
      <c r="C72" s="17" t="str">
        <f>IFERROR(__xludf.DUMMYFUNCTION("""COMPUTED_VALUE"""),"Tbl and vans size 43")</f>
        <v>Tbl and vans size 43</v>
      </c>
      <c r="D72" s="17" t="str">
        <f>IFERROR(__xludf.DUMMYFUNCTION("""COMPUTED_VALUE"""),"Tankeeyy")</f>
        <v>Tankeeyy</v>
      </c>
      <c r="E72" s="17" t="str">
        <f>IFERROR(__xludf.DUMMYFUNCTION("""COMPUTED_VALUE"""),"Jantabasti pipal Chowk, itahari")</f>
        <v>Jantabasti pipal Chowk, itahari</v>
      </c>
      <c r="F72" s="17">
        <f>IFERROR(__xludf.DUMMYFUNCTION("""COMPUTED_VALUE"""),9.709130886E9)</f>
        <v>9709130886</v>
      </c>
      <c r="G72" s="22">
        <f>IFERROR(__xludf.DUMMYFUNCTION("""COMPUTED_VALUE"""),800.0)</f>
        <v>800</v>
      </c>
      <c r="H72" s="22">
        <f>IFERROR(__xludf.DUMMYFUNCTION("""COMPUTED_VALUE"""),2400.0)</f>
        <v>2400</v>
      </c>
      <c r="I72" s="22">
        <f>IFERROR(__xludf.DUMMYFUNCTION("""COMPUTED_VALUE"""),85.0)</f>
        <v>85</v>
      </c>
      <c r="J72" s="17" t="str">
        <f>IFERROR(__xludf.DUMMYFUNCTION("""COMPUTED_VALUE"""),"Delivered")</f>
        <v>Delivered</v>
      </c>
      <c r="K72" s="18">
        <f>IFERROR(__xludf.DUMMYFUNCTION("""COMPUTED_VALUE"""),45812.41483796296)</f>
        <v>45812.41484</v>
      </c>
      <c r="L72" s="17" t="str">
        <f>IFERROR(__xludf.DUMMYFUNCTION("IFS(
  OR(REGEXMATCH(LOWER(E72), ""sirutar|sundarijal|sitapaila|duwakot|tikathali|bhaktapur|lalitpur|kathmandu|ktm|changunarayan|bageswari|ghalate|tinkune|balkot|tikathali""), REGEXMATCH(LOWER(E72), ""inside valley"")), ""Inside Valley"",
  REGEXMATCH(LOW"&amp;"ER(E72), ""dharan|pokhara|biratnagar|birgunj|narayanghat|itahari|hetauda|janakpur|madi""), ""Tier 1"",
  REGEXMATCH(LOWER(E72), ""nepalgunj|butwal|birtamod|dhangadhi|ghorahi|beni|kushma|waling|haldibari|dulegauda|baitadi|bhadrapur|syangja|parbat|myagdi|da"&amp;"ng|nuwakot|jhapa""), ""Tier 2"",
  TRUE, ""Tier 3""
)"),"Tier 1")</f>
        <v>Tier 1</v>
      </c>
      <c r="M72" s="20" t="s">
        <v>474</v>
      </c>
    </row>
    <row r="73">
      <c r="B73" s="18">
        <f>IFERROR(__xludf.DUMMYFUNCTION("""COMPUTED_VALUE"""),45811.193402777775)</f>
        <v>45811.1934</v>
      </c>
      <c r="C73" s="17" t="str">
        <f>IFERROR(__xludf.DUMMYFUNCTION("""COMPUTED_VALUE"""),"Chelsea and Nike sr size 43")</f>
        <v>Chelsea and Nike sr size 43</v>
      </c>
      <c r="D73" s="17" t="str">
        <f>IFERROR(__xludf.DUMMYFUNCTION("""COMPUTED_VALUE"""),"Ajay pragyan")</f>
        <v>Ajay pragyan</v>
      </c>
      <c r="E73" s="17" t="str">
        <f>IFERROR(__xludf.DUMMYFUNCTION("""COMPUTED_VALUE"""),"Gulmi, tamgash")</f>
        <v>Gulmi, tamgash</v>
      </c>
      <c r="F73" s="17">
        <f>IFERROR(__xludf.DUMMYFUNCTION("""COMPUTED_VALUE"""),9.847532187E9)</f>
        <v>9847532187</v>
      </c>
      <c r="G73" s="22">
        <f>IFERROR(__xludf.DUMMYFUNCTION("""COMPUTED_VALUE"""),500.0)</f>
        <v>500</v>
      </c>
      <c r="H73" s="22">
        <f>IFERROR(__xludf.DUMMYFUNCTION("""COMPUTED_VALUE"""),2500.0)</f>
        <v>2500</v>
      </c>
      <c r="I73" s="22">
        <f>IFERROR(__xludf.DUMMYFUNCTION("""COMPUTED_VALUE"""),85.25)</f>
        <v>85.25</v>
      </c>
      <c r="J73" s="17" t="str">
        <f>IFERROR(__xludf.DUMMYFUNCTION("""COMPUTED_VALUE"""),"Delivered")</f>
        <v>Delivered</v>
      </c>
      <c r="K73" s="18">
        <f>IFERROR(__xludf.DUMMYFUNCTION("""COMPUTED_VALUE"""),45813.353993055556)</f>
        <v>45813.35399</v>
      </c>
      <c r="L73" s="17" t="str">
        <f>IFERROR(__xludf.DUMMYFUNCTION("IFS(
  OR(REGEXMATCH(LOWER(E73), ""sirutar|sundarijal|sitapaila|duwakot|tikathali|bhaktapur|lalitpur|kathmandu|ktm|changunarayan|bageswari|ghalate|tinkune|balkot|tikathali""), REGEXMATCH(LOWER(E73), ""inside valley"")), ""Inside Valley"",
  REGEXMATCH(LOW"&amp;"ER(E73), ""dharan|pokhara|biratnagar|birgunj|narayanghat|itahari|hetauda|janakpur|madi""), ""Tier 1"",
  REGEXMATCH(LOWER(E73), ""nepalgunj|butwal|birtamod|dhangadhi|ghorahi|beni|kushma|waling|haldibari|dulegauda|baitadi|bhadrapur|syangja|parbat|myagdi|da"&amp;"ng|nuwakot|jhapa""), ""Tier 2"",
  TRUE, ""Tier 3""
)"),"Tier 3")</f>
        <v>Tier 3</v>
      </c>
      <c r="M73" s="20" t="s">
        <v>498</v>
      </c>
    </row>
    <row r="74">
      <c r="B74" s="18">
        <f>IFERROR(__xludf.DUMMYFUNCTION("""COMPUTED_VALUE"""),45811.19211805555)</f>
        <v>45811.19212</v>
      </c>
      <c r="C74" s="17" t="str">
        <f>IFERROR(__xludf.DUMMYFUNCTION("""COMPUTED_VALUE"""),"Dark brown size 41")</f>
        <v>Dark brown size 41</v>
      </c>
      <c r="D74" s="17" t="str">
        <f>IFERROR(__xludf.DUMMYFUNCTION("""COMPUTED_VALUE"""),"Alone boy")</f>
        <v>Alone boy</v>
      </c>
      <c r="E74" s="17" t="str">
        <f>IFERROR(__xludf.DUMMYFUNCTION("""COMPUTED_VALUE"""),"Syangja, arjunchaupari")</f>
        <v>Syangja, arjunchaupari</v>
      </c>
      <c r="F74" s="17">
        <f>IFERROR(__xludf.DUMMYFUNCTION("""COMPUTED_VALUE"""),9.703982249E9)</f>
        <v>9703982249</v>
      </c>
      <c r="G74" s="22">
        <f>IFERROR(__xludf.DUMMYFUNCTION("""COMPUTED_VALUE"""),300.0)</f>
        <v>300</v>
      </c>
      <c r="H74" s="22">
        <f>IFERROR(__xludf.DUMMYFUNCTION("""COMPUTED_VALUE"""),1300.0)</f>
        <v>1300</v>
      </c>
      <c r="I74" s="22">
        <f>IFERROR(__xludf.DUMMYFUNCTION("""COMPUTED_VALUE"""),82.25)</f>
        <v>82.25</v>
      </c>
      <c r="J74" s="17" t="str">
        <f>IFERROR(__xludf.DUMMYFUNCTION("""COMPUTED_VALUE"""),"Delivered")</f>
        <v>Delivered</v>
      </c>
      <c r="K74" s="18">
        <f>IFERROR(__xludf.DUMMYFUNCTION("""COMPUTED_VALUE"""),45813.54565972222)</f>
        <v>45813.54566</v>
      </c>
      <c r="L74" s="17" t="str">
        <f>IFERROR(__xludf.DUMMYFUNCTION("IFS(
  OR(REGEXMATCH(LOWER(E74), ""sirutar|sundarijal|sitapaila|duwakot|tikathali|bhaktapur|lalitpur|kathmandu|ktm|changunarayan|bageswari|ghalate|tinkune|balkot|tikathali""), REGEXMATCH(LOWER(E74), ""inside valley"")), ""Inside Valley"",
  REGEXMATCH(LOW"&amp;"ER(E74), ""dharan|pokhara|biratnagar|birgunj|narayanghat|itahari|hetauda|janakpur|madi""), ""Tier 1"",
  REGEXMATCH(LOWER(E74), ""nepalgunj|butwal|birtamod|dhangadhi|ghorahi|beni|kushma|waling|haldibari|dulegauda|baitadi|bhadrapur|syangja|parbat|myagdi|da"&amp;"ng|nuwakot|jhapa""), ""Tier 2"",
  TRUE, ""Tier 3""
)"),"Tier 2")</f>
        <v>Tier 2</v>
      </c>
      <c r="M74" s="20" t="s">
        <v>482</v>
      </c>
    </row>
    <row r="75">
      <c r="B75" s="18">
        <f>IFERROR(__xludf.DUMMYFUNCTION("""COMPUTED_VALUE"""),45811.18950231481)</f>
        <v>45811.1895</v>
      </c>
      <c r="C75" s="17" t="str">
        <f>IFERROR(__xludf.DUMMYFUNCTION("""COMPUTED_VALUE"""),"Vans half shoes 40")</f>
        <v>Vans half shoes 40</v>
      </c>
      <c r="D75" s="17" t="str">
        <f>IFERROR(__xludf.DUMMYFUNCTION("""COMPUTED_VALUE"""),"Sabin pandey")</f>
        <v>Sabin pandey</v>
      </c>
      <c r="E75" s="17" t="str">
        <f>IFERROR(__xludf.DUMMYFUNCTION("""COMPUTED_VALUE"""),"Morang, thydia")</f>
        <v>Morang, thydia</v>
      </c>
      <c r="F75" s="17">
        <f>IFERROR(__xludf.DUMMYFUNCTION("""COMPUTED_VALUE"""),9.801992885E9)</f>
        <v>9801992885</v>
      </c>
      <c r="G75" s="22">
        <f>IFERROR(__xludf.DUMMYFUNCTION("""COMPUTED_VALUE"""),700.0)</f>
        <v>700</v>
      </c>
      <c r="H75" s="22">
        <f>IFERROR(__xludf.DUMMYFUNCTION("""COMPUTED_VALUE"""),1300.0)</f>
        <v>1300</v>
      </c>
      <c r="I75" s="22">
        <f>IFERROR(__xludf.DUMMYFUNCTION("""COMPUTED_VALUE"""),82.25)</f>
        <v>82.25</v>
      </c>
      <c r="J75" s="17" t="str">
        <f>IFERROR(__xludf.DUMMYFUNCTION("""COMPUTED_VALUE"""),"Delivered")</f>
        <v>Delivered</v>
      </c>
      <c r="K75" s="18">
        <f>IFERROR(__xludf.DUMMYFUNCTION("""COMPUTED_VALUE"""),45812.50335648148)</f>
        <v>45812.50336</v>
      </c>
      <c r="L75" s="17" t="str">
        <f>IFERROR(__xludf.DUMMYFUNCTION("IFS(
  OR(REGEXMATCH(LOWER(E75), ""sirutar|sundarijal|sitapaila|duwakot|tikathali|bhaktapur|lalitpur|kathmandu|ktm|changunarayan|bageswari|ghalate|tinkune|balkot|tikathali""), REGEXMATCH(LOWER(E75), ""inside valley"")), ""Inside Valley"",
  REGEXMATCH(LOW"&amp;"ER(E75), ""dharan|pokhara|biratnagar|birgunj|narayanghat|itahari|hetauda|janakpur|madi""), ""Tier 1"",
  REGEXMATCH(LOWER(E75), ""nepalgunj|butwal|birtamod|dhangadhi|ghorahi|beni|kushma|waling|haldibari|dulegauda|baitadi|bhadrapur|syangja|parbat|myagdi|da"&amp;"ng|nuwakot|jhapa""), ""Tier 2"",
  TRUE, ""Tier 3""
)"),"Tier 3")</f>
        <v>Tier 3</v>
      </c>
      <c r="M75" s="20" t="s">
        <v>474</v>
      </c>
    </row>
    <row r="76">
      <c r="B76" s="18">
        <f>IFERROR(__xludf.DUMMYFUNCTION("""COMPUTED_VALUE"""),45808.16628472222)</f>
        <v>45808.16628</v>
      </c>
      <c r="C76" s="17" t="str">
        <f>IFERROR(__xludf.DUMMYFUNCTION("""COMPUTED_VALUE"""),"Samba shoes size 43")</f>
        <v>Samba shoes size 43</v>
      </c>
      <c r="D76" s="17" t="str">
        <f>IFERROR(__xludf.DUMMYFUNCTION("""COMPUTED_VALUE"""),"Sudip")</f>
        <v>Sudip</v>
      </c>
      <c r="E76" s="17" t="str">
        <f>IFERROR(__xludf.DUMMYFUNCTION("""COMPUTED_VALUE"""),"Tokha road, nature club resataurant")</f>
        <v>Tokha road, nature club resataurant</v>
      </c>
      <c r="F76" s="17">
        <f>IFERROR(__xludf.DUMMYFUNCTION("""COMPUTED_VALUE"""),9.867371428E9)</f>
        <v>9867371428</v>
      </c>
      <c r="G76" s="22">
        <f>IFERROR(__xludf.DUMMYFUNCTION("""COMPUTED_VALUE"""),300.0)</f>
        <v>300</v>
      </c>
      <c r="H76" s="22">
        <f>IFERROR(__xludf.DUMMYFUNCTION("""COMPUTED_VALUE"""),1300.0)</f>
        <v>1300</v>
      </c>
      <c r="I76" s="22">
        <f>IFERROR(__xludf.DUMMYFUNCTION("""COMPUTED_VALUE"""),62.25)</f>
        <v>62.25</v>
      </c>
      <c r="J76" s="17" t="str">
        <f>IFERROR(__xludf.DUMMYFUNCTION("""COMPUTED_VALUE"""),"Delivered")</f>
        <v>Delivered</v>
      </c>
      <c r="K76" s="18">
        <f>IFERROR(__xludf.DUMMYFUNCTION("""COMPUTED_VALUE"""),45809.26428240741)</f>
        <v>45809.26428</v>
      </c>
      <c r="L76" s="17" t="str">
        <f>IFERROR(__xludf.DUMMYFUNCTION("IFS(
  OR(REGEXMATCH(LOWER(E76), ""sirutar|sundarijal|sitapaila|duwakot|tikathali|bhaktapur|lalitpur|kathmandu|ktm|changunarayan|bageswari|ghalate|tinkune|balkot|tikathali""), REGEXMATCH(LOWER(E76), ""inside valley"")), ""Inside Valley"",
  REGEXMATCH(LOW"&amp;"ER(E76), ""dharan|pokhara|biratnagar|birgunj|narayanghat|itahari|hetauda|janakpur|madi""), ""Tier 1"",
  REGEXMATCH(LOWER(E76), ""nepalgunj|butwal|birtamod|dhangadhi|ghorahi|beni|kushma|waling|haldibari|dulegauda|baitadi|bhadrapur|syangja|parbat|myagdi|da"&amp;"ng|nuwakot|jhapa""), ""Tier 2"",
  TRUE, ""Tier 3""
)"),"Tier 3")</f>
        <v>Tier 3</v>
      </c>
      <c r="M76" s="20" t="s">
        <v>479</v>
      </c>
    </row>
    <row r="77">
      <c r="B77" s="18">
        <f>IFERROR(__xludf.DUMMYFUNCTION("""COMPUTED_VALUE"""),45807.17722222222)</f>
        <v>45807.17722</v>
      </c>
      <c r="C77" s="17" t="str">
        <f>IFERROR(__xludf.DUMMYFUNCTION("""COMPUTED_VALUE"""),"Brown shoes size 41")</f>
        <v>Brown shoes size 41</v>
      </c>
      <c r="D77" s="17" t="str">
        <f>IFERROR(__xludf.DUMMYFUNCTION("""COMPUTED_VALUE"""),"Sukdev thapa")</f>
        <v>Sukdev thapa</v>
      </c>
      <c r="E77" s="17" t="str">
        <f>IFERROR(__xludf.DUMMYFUNCTION("""COMPUTED_VALUE"""),"Dang lamahi")</f>
        <v>Dang lamahi</v>
      </c>
      <c r="F77" s="17">
        <f>IFERROR(__xludf.DUMMYFUNCTION("""COMPUTED_VALUE"""),9.806230424E9)</f>
        <v>9806230424</v>
      </c>
      <c r="G77" s="22">
        <f>IFERROR(__xludf.DUMMYFUNCTION("""COMPUTED_VALUE"""),300.0)</f>
        <v>300</v>
      </c>
      <c r="H77" s="22">
        <f>IFERROR(__xludf.DUMMYFUNCTION("""COMPUTED_VALUE"""),1300.0)</f>
        <v>1300</v>
      </c>
      <c r="I77" s="22">
        <f>IFERROR(__xludf.DUMMYFUNCTION("""COMPUTED_VALUE"""),82.25)</f>
        <v>82.25</v>
      </c>
      <c r="J77" s="17" t="str">
        <f>IFERROR(__xludf.DUMMYFUNCTION("""COMPUTED_VALUE"""),"Delivered")</f>
        <v>Delivered</v>
      </c>
      <c r="K77" s="18">
        <f>IFERROR(__xludf.DUMMYFUNCTION("""COMPUTED_VALUE"""),45810.61547453704)</f>
        <v>45810.61547</v>
      </c>
      <c r="L77" s="17" t="str">
        <f>IFERROR(__xludf.DUMMYFUNCTION("IFS(
  OR(REGEXMATCH(LOWER(E77), ""sirutar|sundarijal|sitapaila|duwakot|tikathali|bhaktapur|lalitpur|kathmandu|ktm|changunarayan|bageswari|ghalate|tinkune|balkot|tikathali""), REGEXMATCH(LOWER(E77), ""inside valley"")), ""Inside Valley"",
  REGEXMATCH(LOW"&amp;"ER(E77), ""dharan|pokhara|biratnagar|birgunj|narayanghat|itahari|hetauda|janakpur|madi""), ""Tier 1"",
  REGEXMATCH(LOWER(E77), ""nepalgunj|butwal|birtamod|dhangadhi|ghorahi|beni|kushma|waling|haldibari|dulegauda|baitadi|bhadrapur|syangja|parbat|myagdi|da"&amp;"ng|nuwakot|jhapa""), ""Tier 2"",
  TRUE, ""Tier 3""
)"),"Tier 2")</f>
        <v>Tier 2</v>
      </c>
      <c r="M77" s="20" t="s">
        <v>498</v>
      </c>
    </row>
    <row r="78">
      <c r="B78" s="18">
        <f>IFERROR(__xludf.DUMMYFUNCTION("""COMPUTED_VALUE"""),45807.17543981482)</f>
        <v>45807.17544</v>
      </c>
      <c r="C78" s="17" t="str">
        <f>IFERROR(__xludf.DUMMYFUNCTION("""COMPUTED_VALUE"""),"Utsav shoes size 42")</f>
        <v>Utsav shoes size 42</v>
      </c>
      <c r="D78" s="17" t="str">
        <f>IFERROR(__xludf.DUMMYFUNCTION("""COMPUTED_VALUE"""),"Nisan tamang")</f>
        <v>Nisan tamang</v>
      </c>
      <c r="E78" s="17" t="str">
        <f>IFERROR(__xludf.DUMMYFUNCTION("""COMPUTED_VALUE"""),"Dhulabari")</f>
        <v>Dhulabari</v>
      </c>
      <c r="F78" s="17">
        <f>IFERROR(__xludf.DUMMYFUNCTION("""COMPUTED_VALUE"""),9.764470296E9)</f>
        <v>9764470296</v>
      </c>
      <c r="G78" s="22">
        <f>IFERROR(__xludf.DUMMYFUNCTION("""COMPUTED_VALUE"""),450.0)</f>
        <v>450</v>
      </c>
      <c r="H78" s="22">
        <f>IFERROR(__xludf.DUMMYFUNCTION("""COMPUTED_VALUE"""),1250.0)</f>
        <v>1250</v>
      </c>
      <c r="I78" s="22">
        <f>IFERROR(__xludf.DUMMYFUNCTION("""COMPUTED_VALUE"""),82.13)</f>
        <v>82.13</v>
      </c>
      <c r="J78" s="17" t="str">
        <f>IFERROR(__xludf.DUMMYFUNCTION("""COMPUTED_VALUE"""),"Delivered")</f>
        <v>Delivered</v>
      </c>
      <c r="K78" s="18">
        <f>IFERROR(__xludf.DUMMYFUNCTION("""COMPUTED_VALUE"""),45809.37590277778)</f>
        <v>45809.3759</v>
      </c>
      <c r="L78" s="17" t="str">
        <f>IFERROR(__xludf.DUMMYFUNCTION("IFS(
  OR(REGEXMATCH(LOWER(E78), ""sirutar|sundarijal|sitapaila|duwakot|tikathali|bhaktapur|lalitpur|kathmandu|ktm|changunarayan|bageswari|ghalate|tinkune|balkot|tikathali""), REGEXMATCH(LOWER(E78), ""inside valley"")), ""Inside Valley"",
  REGEXMATCH(LOW"&amp;"ER(E78), ""dharan|pokhara|biratnagar|birgunj|narayanghat|itahari|hetauda|janakpur|madi""), ""Tier 1"",
  REGEXMATCH(LOWER(E78), ""nepalgunj|butwal|birtamod|dhangadhi|ghorahi|beni|kushma|waling|haldibari|dulegauda|baitadi|bhadrapur|syangja|parbat|myagdi|da"&amp;"ng|nuwakot|jhapa""), ""Tier 2"",
  TRUE, ""Tier 3""
)"),"Tier 3")</f>
        <v>Tier 3</v>
      </c>
      <c r="M78" s="20" t="s">
        <v>474</v>
      </c>
    </row>
    <row r="79">
      <c r="B79" s="18">
        <f>IFERROR(__xludf.DUMMYFUNCTION("""COMPUTED_VALUE"""),45807.17444444445)</f>
        <v>45807.17444</v>
      </c>
      <c r="C79" s="17" t="str">
        <f>IFERROR(__xludf.DUMMYFUNCTION("""COMPUTED_VALUE"""),"Nike blue shoes and white size 41")</f>
        <v>Nike blue shoes and white size 41</v>
      </c>
      <c r="D79" s="17" t="str">
        <f>IFERROR(__xludf.DUMMYFUNCTION("""COMPUTED_VALUE"""),"Shree Krishna sapkota")</f>
        <v>Shree Krishna sapkota</v>
      </c>
      <c r="E79" s="17" t="str">
        <f>IFERROR(__xludf.DUMMYFUNCTION("""COMPUTED_VALUE"""),"Beni bazzar, myagdi")</f>
        <v>Beni bazzar, myagdi</v>
      </c>
      <c r="F79" s="17">
        <f>IFERROR(__xludf.DUMMYFUNCTION("""COMPUTED_VALUE"""),9.769477499E9)</f>
        <v>9769477499</v>
      </c>
      <c r="G79" s="22">
        <f>IFERROR(__xludf.DUMMYFUNCTION("""COMPUTED_VALUE"""),400.0)</f>
        <v>400</v>
      </c>
      <c r="H79" s="22">
        <f>IFERROR(__xludf.DUMMYFUNCTION("""COMPUTED_VALUE"""),2400.0)</f>
        <v>2400</v>
      </c>
      <c r="I79" s="22">
        <f>IFERROR(__xludf.DUMMYFUNCTION("""COMPUTED_VALUE"""),85.0)</f>
        <v>85</v>
      </c>
      <c r="J79" s="17" t="str">
        <f>IFERROR(__xludf.DUMMYFUNCTION("""COMPUTED_VALUE"""),"Delivered")</f>
        <v>Delivered</v>
      </c>
      <c r="K79" s="18">
        <f>IFERROR(__xludf.DUMMYFUNCTION("""COMPUTED_VALUE"""),45813.280960648146)</f>
        <v>45813.28096</v>
      </c>
      <c r="L79" s="17" t="str">
        <f>IFERROR(__xludf.DUMMYFUNCTION("IFS(
  OR(REGEXMATCH(LOWER(E79), ""sirutar|sundarijal|sitapaila|duwakot|tikathali|bhaktapur|lalitpur|kathmandu|ktm|changunarayan|bageswari|ghalate|tinkune|balkot|tikathali""), REGEXMATCH(LOWER(E79), ""inside valley"")), ""Inside Valley"",
  REGEXMATCH(LOW"&amp;"ER(E79), ""dharan|pokhara|biratnagar|birgunj|narayanghat|itahari|hetauda|janakpur|madi""), ""Tier 1"",
  REGEXMATCH(LOWER(E79), ""nepalgunj|butwal|birtamod|dhangadhi|ghorahi|beni|kushma|waling|haldibari|dulegauda|baitadi|bhadrapur|syangja|parbat|myagdi|da"&amp;"ng|nuwakot|jhapa""), ""Tier 2"",
  TRUE, ""Tier 3""
)"),"Tier 2")</f>
        <v>Tier 2</v>
      </c>
      <c r="M79" s="20" t="s">
        <v>482</v>
      </c>
    </row>
    <row r="80">
      <c r="B80" s="18">
        <f>IFERROR(__xludf.DUMMYFUNCTION("""COMPUTED_VALUE"""),45806.75989583333)</f>
        <v>45806.7599</v>
      </c>
      <c r="C80" s="17" t="str">
        <f>IFERROR(__xludf.DUMMYFUNCTION("""COMPUTED_VALUE"""),"Sr shoes size 43")</f>
        <v>Sr shoes size 43</v>
      </c>
      <c r="D80" s="17" t="str">
        <f>IFERROR(__xludf.DUMMYFUNCTION("""COMPUTED_VALUE"""),"Samir kc")</f>
        <v>Samir kc</v>
      </c>
      <c r="E80" s="17" t="str">
        <f>IFERROR(__xludf.DUMMYFUNCTION("""COMPUTED_VALUE"""),"
Location-thinthana,munalclub")</f>
        <v>
Location-thinthana,munalclub</v>
      </c>
      <c r="F80" s="17">
        <f>IFERROR(__xludf.DUMMYFUNCTION("""COMPUTED_VALUE"""),9.844821299E9)</f>
        <v>9844821299</v>
      </c>
      <c r="G80" s="22">
        <f>IFERROR(__xludf.DUMMYFUNCTION("""COMPUTED_VALUE"""),300.0)</f>
        <v>300</v>
      </c>
      <c r="H80" s="22">
        <f>IFERROR(__xludf.DUMMYFUNCTION("""COMPUTED_VALUE"""),1300.0)</f>
        <v>1300</v>
      </c>
      <c r="I80" s="22">
        <f>IFERROR(__xludf.DUMMYFUNCTION("""COMPUTED_VALUE"""),62.25)</f>
        <v>62.25</v>
      </c>
      <c r="J80" s="17" t="str">
        <f>IFERROR(__xludf.DUMMYFUNCTION("""COMPUTED_VALUE"""),"Delivered")</f>
        <v>Delivered</v>
      </c>
      <c r="K80" s="18">
        <f>IFERROR(__xludf.DUMMYFUNCTION("""COMPUTED_VALUE"""),45808.42049768519)</f>
        <v>45808.4205</v>
      </c>
      <c r="L80" s="17" t="str">
        <f>IFERROR(__xludf.DUMMYFUNCTION("IFS(
  OR(REGEXMATCH(LOWER(E80), ""sirutar|sundarijal|sitapaila|duwakot|tikathali|bhaktapur|lalitpur|kathmandu|ktm|changunarayan|bageswari|ghalate|tinkune|balkot|tikathali""), REGEXMATCH(LOWER(E80), ""inside valley"")), ""Inside Valley"",
  REGEXMATCH(LOW"&amp;"ER(E80), ""dharan|pokhara|biratnagar|birgunj|narayanghat|itahari|hetauda|janakpur|madi""), ""Tier 1"",
  REGEXMATCH(LOWER(E80), ""nepalgunj|butwal|birtamod|dhangadhi|ghorahi|beni|kushma|waling|haldibari|dulegauda|baitadi|bhadrapur|syangja|parbat|myagdi|da"&amp;"ng|nuwakot|jhapa""), ""Tier 2"",
  TRUE, ""Tier 3""
)"),"Tier 3")</f>
        <v>Tier 3</v>
      </c>
      <c r="M80" s="20" t="s">
        <v>479</v>
      </c>
    </row>
    <row r="81">
      <c r="B81" s="18">
        <f>IFERROR(__xludf.DUMMYFUNCTION("""COMPUTED_VALUE"""),45806.44621527778)</f>
        <v>45806.44622</v>
      </c>
      <c r="C81" s="17" t="str">
        <f>IFERROR(__xludf.DUMMYFUNCTION("""COMPUTED_VALUE"""),"Lofer black size 39")</f>
        <v>Lofer black size 39</v>
      </c>
      <c r="D81" s="17" t="str">
        <f>IFERROR(__xludf.DUMMYFUNCTION("""COMPUTED_VALUE"""),"MD noore nabi")</f>
        <v>MD noore nabi</v>
      </c>
      <c r="E81" s="17" t="str">
        <f>IFERROR(__xludf.DUMMYFUNCTION("""COMPUTED_VALUE"""),"Butwal, pharsatikar 4")</f>
        <v>Butwal, pharsatikar 4</v>
      </c>
      <c r="F81" s="17">
        <f>IFERROR(__xludf.DUMMYFUNCTION("""COMPUTED_VALUE"""),9.7047297E9)</f>
        <v>9704729700</v>
      </c>
      <c r="G81" s="22">
        <f>IFERROR(__xludf.DUMMYFUNCTION("""COMPUTED_VALUE"""),500.0)</f>
        <v>500</v>
      </c>
      <c r="H81" s="22">
        <f>IFERROR(__xludf.DUMMYFUNCTION("""COMPUTED_VALUE"""),1300.0)</f>
        <v>1300</v>
      </c>
      <c r="I81" s="22">
        <f>IFERROR(__xludf.DUMMYFUNCTION("""COMPUTED_VALUE"""),82.25)</f>
        <v>82.25</v>
      </c>
      <c r="J81" s="17" t="str">
        <f>IFERROR(__xludf.DUMMYFUNCTION("""COMPUTED_VALUE"""),"Delivered")</f>
        <v>Delivered</v>
      </c>
      <c r="K81" s="18">
        <f>IFERROR(__xludf.DUMMYFUNCTION("""COMPUTED_VALUE"""),45809.487708333334)</f>
        <v>45809.48771</v>
      </c>
      <c r="L81" s="17" t="str">
        <f>IFERROR(__xludf.DUMMYFUNCTION("IFS(
  OR(REGEXMATCH(LOWER(E81), ""sirutar|sundarijal|sitapaila|duwakot|tikathali|bhaktapur|lalitpur|kathmandu|ktm|changunarayan|bageswari|ghalate|tinkune|balkot|tikathali""), REGEXMATCH(LOWER(E81), ""inside valley"")), ""Inside Valley"",
  REGEXMATCH(LOW"&amp;"ER(E81), ""dharan|pokhara|biratnagar|birgunj|narayanghat|itahari|hetauda|janakpur|madi""), ""Tier 1"",
  REGEXMATCH(LOWER(E81), ""nepalgunj|butwal|birtamod|dhangadhi|ghorahi|beni|kushma|waling|haldibari|dulegauda|baitadi|bhadrapur|syangja|parbat|myagdi|da"&amp;"ng|nuwakot|jhapa""), ""Tier 2"",
  TRUE, ""Tier 3""
)"),"Tier 2")</f>
        <v>Tier 2</v>
      </c>
      <c r="M81" s="20" t="s">
        <v>498</v>
      </c>
    </row>
    <row r="82">
      <c r="B82" s="18">
        <f>IFERROR(__xludf.DUMMYFUNCTION("""COMPUTED_VALUE"""),45806.440833333334)</f>
        <v>45806.44083</v>
      </c>
      <c r="C82" s="17"/>
      <c r="D82" s="17" t="str">
        <f>IFERROR(__xludf.DUMMYFUNCTION("""COMPUTED_VALUE"""),"Bibek rai")</f>
        <v>Bibek rai</v>
      </c>
      <c r="E82" s="17" t="str">
        <f>IFERROR(__xludf.DUMMYFUNCTION("""COMPUTED_VALUE"""),"Lalitpur, purna Chandi mandir ")</f>
        <v>Lalitpur, purna Chandi mandir </v>
      </c>
      <c r="F82" s="17">
        <f>IFERROR(__xludf.DUMMYFUNCTION("""COMPUTED_VALUE"""),9.810065122E9)</f>
        <v>9810065122</v>
      </c>
      <c r="G82" s="22">
        <f>IFERROR(__xludf.DUMMYFUNCTION("""COMPUTED_VALUE"""),260.0)</f>
        <v>260</v>
      </c>
      <c r="H82" s="22">
        <f>IFERROR(__xludf.DUMMYFUNCTION("""COMPUTED_VALUE"""),1260.0)</f>
        <v>1260</v>
      </c>
      <c r="I82" s="22">
        <f>IFERROR(__xludf.DUMMYFUNCTION("""COMPUTED_VALUE"""),3.15)</f>
        <v>3.15</v>
      </c>
      <c r="J82" s="17" t="str">
        <f>IFERROR(__xludf.DUMMYFUNCTION("""COMPUTED_VALUE"""),"Delivered")</f>
        <v>Delivered</v>
      </c>
      <c r="K82" s="18">
        <f>IFERROR(__xludf.DUMMYFUNCTION("""COMPUTED_VALUE"""),45807.21878472222)</f>
        <v>45807.21878</v>
      </c>
      <c r="L82" s="17" t="str">
        <f>IFERROR(__xludf.DUMMYFUNCTION("IFS(
  OR(REGEXMATCH(LOWER(E82), ""sirutar|sundarijal|sitapaila|duwakot|tikathali|bhaktapur|lalitpur|kathmandu|ktm|changunarayan|bageswari|ghalate|tinkune|balkot|tikathali""), REGEXMATCH(LOWER(E82), ""inside valley"")), ""Inside Valley"",
  REGEXMATCH(LOW"&amp;"ER(E82), ""dharan|pokhara|biratnagar|birgunj|narayanghat|itahari|hetauda|janakpur|madi""), ""Tier 1"",
  REGEXMATCH(LOWER(E82), ""nepalgunj|butwal|birtamod|dhangadhi|ghorahi|beni|kushma|waling|haldibari|dulegauda|baitadi|bhadrapur|syangja|parbat|myagdi|da"&amp;"ng|nuwakot|jhapa""), ""Tier 2"",
  TRUE, ""Tier 3""
)"),"Inside Valley")</f>
        <v>Inside Valley</v>
      </c>
      <c r="M82" s="20" t="s">
        <v>479</v>
      </c>
    </row>
    <row r="83">
      <c r="B83" s="18">
        <f>IFERROR(__xludf.DUMMYFUNCTION("""COMPUTED_VALUE"""),45806.43519675926)</f>
        <v>45806.4352</v>
      </c>
      <c r="C83" s="17" t="str">
        <f>IFERROR(__xludf.DUMMYFUNCTION("""COMPUTED_VALUE"""),"Brown Nike size 41")</f>
        <v>Brown Nike size 41</v>
      </c>
      <c r="D83" s="17" t="str">
        <f>IFERROR(__xludf.DUMMYFUNCTION("""COMPUTED_VALUE"""),"Nisan or jibika tamang")</f>
        <v>Nisan or jibika tamang</v>
      </c>
      <c r="E83" s="17" t="str">
        <f>IFERROR(__xludf.DUMMYFUNCTION("""COMPUTED_VALUE"""),"Dhulabari")</f>
        <v>Dhulabari</v>
      </c>
      <c r="F83" s="17">
        <f>IFERROR(__xludf.DUMMYFUNCTION("""COMPUTED_VALUE"""),9.764470296E9)</f>
        <v>9764470296</v>
      </c>
      <c r="G83" s="22">
        <f>IFERROR(__xludf.DUMMYFUNCTION("""COMPUTED_VALUE"""),300.0)</f>
        <v>300</v>
      </c>
      <c r="H83" s="22">
        <f>IFERROR(__xludf.DUMMYFUNCTION("""COMPUTED_VALUE"""),1300.0)</f>
        <v>1300</v>
      </c>
      <c r="I83" s="22">
        <f>IFERROR(__xludf.DUMMYFUNCTION("""COMPUTED_VALUE"""),82.25)</f>
        <v>82.25</v>
      </c>
      <c r="J83" s="17" t="str">
        <f>IFERROR(__xludf.DUMMYFUNCTION("""COMPUTED_VALUE"""),"Delivered")</f>
        <v>Delivered</v>
      </c>
      <c r="K83" s="18">
        <f>IFERROR(__xludf.DUMMYFUNCTION("""COMPUTED_VALUE"""),45809.37627314815)</f>
        <v>45809.37627</v>
      </c>
      <c r="L83" s="17" t="str">
        <f>IFERROR(__xludf.DUMMYFUNCTION("IFS(
  OR(REGEXMATCH(LOWER(E83), ""sirutar|sundarijal|sitapaila|duwakot|tikathali|bhaktapur|lalitpur|kathmandu|ktm|changunarayan|bageswari|ghalate|tinkune|balkot|tikathali""), REGEXMATCH(LOWER(E83), ""inside valley"")), ""Inside Valley"",
  REGEXMATCH(LOW"&amp;"ER(E83), ""dharan|pokhara|biratnagar|birgunj|narayanghat|itahari|hetauda|janakpur|madi""), ""Tier 1"",
  REGEXMATCH(LOWER(E83), ""nepalgunj|butwal|birtamod|dhangadhi|ghorahi|beni|kushma|waling|haldibari|dulegauda|baitadi|bhadrapur|syangja|parbat|myagdi|da"&amp;"ng|nuwakot|jhapa""), ""Tier 2"",
  TRUE, ""Tier 3""
)"),"Tier 3")</f>
        <v>Tier 3</v>
      </c>
      <c r="M83" s="20" t="s">
        <v>474</v>
      </c>
    </row>
    <row r="84">
      <c r="B84" s="18">
        <f>IFERROR(__xludf.DUMMYFUNCTION("""COMPUTED_VALUE"""),45806.42952546296)</f>
        <v>45806.42953</v>
      </c>
      <c r="C84" s="17" t="str">
        <f>IFERROR(__xludf.DUMMYFUNCTION("""COMPUTED_VALUE"""),"Brown Nike of size 36")</f>
        <v>Brown Nike of size 36</v>
      </c>
      <c r="D84" s="17" t="str">
        <f>IFERROR(__xludf.DUMMYFUNCTION("""COMPUTED_VALUE"""),"Salin")</f>
        <v>Salin</v>
      </c>
      <c r="E84" s="17" t="str">
        <f>IFERROR(__xludf.DUMMYFUNCTION("""COMPUTED_VALUE"""),"Dilli bazzar, ktm")</f>
        <v>Dilli bazzar, ktm</v>
      </c>
      <c r="F84" s="17">
        <f>IFERROR(__xludf.DUMMYFUNCTION("""COMPUTED_VALUE"""),9.847148778E9)</f>
        <v>9847148778</v>
      </c>
      <c r="G84" s="22">
        <f>IFERROR(__xludf.DUMMYFUNCTION("""COMPUTED_VALUE"""),300.0)</f>
        <v>300</v>
      </c>
      <c r="H84" s="22">
        <f>IFERROR(__xludf.DUMMYFUNCTION("""COMPUTED_VALUE"""),1300.0)</f>
        <v>1300</v>
      </c>
      <c r="I84" s="22">
        <f>IFERROR(__xludf.DUMMYFUNCTION("""COMPUTED_VALUE"""),3.25)</f>
        <v>3.25</v>
      </c>
      <c r="J84" s="17" t="str">
        <f>IFERROR(__xludf.DUMMYFUNCTION("""COMPUTED_VALUE"""),"Delivered")</f>
        <v>Delivered</v>
      </c>
      <c r="K84" s="18">
        <f>IFERROR(__xludf.DUMMYFUNCTION("""COMPUTED_VALUE"""),45807.29958333333)</f>
        <v>45807.29958</v>
      </c>
      <c r="L84" s="17" t="str">
        <f>IFERROR(__xludf.DUMMYFUNCTION("IFS(
  OR(REGEXMATCH(LOWER(E84), ""sirutar|sundarijal|sitapaila|duwakot|tikathali|bhaktapur|lalitpur|kathmandu|ktm|changunarayan|bageswari|ghalate|tinkune|balkot|tikathali""), REGEXMATCH(LOWER(E84), ""inside valley"")), ""Inside Valley"",
  REGEXMATCH(LOW"&amp;"ER(E84), ""dharan|pokhara|biratnagar|birgunj|narayanghat|itahari|hetauda|janakpur|madi""), ""Tier 1"",
  REGEXMATCH(LOWER(E84), ""nepalgunj|butwal|birtamod|dhangadhi|ghorahi|beni|kushma|waling|haldibari|dulegauda|baitadi|bhadrapur|syangja|parbat|myagdi|da"&amp;"ng|nuwakot|jhapa""), ""Tier 2"",
  TRUE, ""Tier 3""
)"),"Inside Valley")</f>
        <v>Inside Valley</v>
      </c>
      <c r="M84" s="20" t="s">
        <v>479</v>
      </c>
    </row>
    <row r="85">
      <c r="B85" s="18">
        <f>IFERROR(__xludf.DUMMYFUNCTION("""COMPUTED_VALUE"""),45806.188692129625)</f>
        <v>45806.18869</v>
      </c>
      <c r="C85" s="17" t="str">
        <f>IFERROR(__xludf.DUMMYFUNCTION("""COMPUTED_VALUE"""),"Vans shoes size 37")</f>
        <v>Vans shoes size 37</v>
      </c>
      <c r="D85" s="17" t="str">
        <f>IFERROR(__xludf.DUMMYFUNCTION("""COMPUTED_VALUE"""),"Bikash chaulagain")</f>
        <v>Bikash chaulagain</v>
      </c>
      <c r="E85" s="17" t="str">
        <f>IFERROR(__xludf.DUMMYFUNCTION("""COMPUTED_VALUE"""),"Kalikot tadi")</f>
        <v>Kalikot tadi</v>
      </c>
      <c r="F85" s="17">
        <f>IFERROR(__xludf.DUMMYFUNCTION("""COMPUTED_VALUE"""),9.76545561E9)</f>
        <v>9765455610</v>
      </c>
      <c r="G85" s="22">
        <f>IFERROR(__xludf.DUMMYFUNCTION("""COMPUTED_VALUE"""),0.0)</f>
        <v>0</v>
      </c>
      <c r="H85" s="22">
        <f>IFERROR(__xludf.DUMMYFUNCTION("""COMPUTED_VALUE"""),1300.0)</f>
        <v>1300</v>
      </c>
      <c r="I85" s="22">
        <f>IFERROR(__xludf.DUMMYFUNCTION("""COMPUTED_VALUE"""),82.25)</f>
        <v>82.25</v>
      </c>
      <c r="J85" s="17" t="str">
        <f>IFERROR(__xludf.DUMMYFUNCTION("""COMPUTED_VALUE"""),"Delivered")</f>
        <v>Delivered</v>
      </c>
      <c r="K85" s="18">
        <f>IFERROR(__xludf.DUMMYFUNCTION("""COMPUTED_VALUE"""),45809.5961574074)</f>
        <v>45809.59616</v>
      </c>
      <c r="L85" s="17" t="str">
        <f>IFERROR(__xludf.DUMMYFUNCTION("IFS(
  OR(REGEXMATCH(LOWER(E85), ""sirutar|sundarijal|sitapaila|duwakot|tikathali|bhaktapur|lalitpur|kathmandu|ktm|changunarayan|bageswari|ghalate|tinkune|balkot|tikathali""), REGEXMATCH(LOWER(E85), ""inside valley"")), ""Inside Valley"",
  REGEXMATCH(LOW"&amp;"ER(E85), ""dharan|pokhara|biratnagar|birgunj|narayanghat|itahari|hetauda|janakpur|madi""), ""Tier 1"",
  REGEXMATCH(LOWER(E85), ""nepalgunj|butwal|birtamod|dhangadhi|ghorahi|beni|kushma|waling|haldibari|dulegauda|baitadi|bhadrapur|syangja|parbat|myagdi|da"&amp;"ng|nuwakot|jhapa""), ""Tier 2"",
  TRUE, ""Tier 3""
)"),"Tier 3")</f>
        <v>Tier 3</v>
      </c>
      <c r="M85" s="20" t="s">
        <v>499</v>
      </c>
    </row>
    <row r="86">
      <c r="B86" s="18">
        <f>IFERROR(__xludf.DUMMYFUNCTION("""COMPUTED_VALUE"""),45806.185381944444)</f>
        <v>45806.18538</v>
      </c>
      <c r="C86" s="17" t="str">
        <f>IFERROR(__xludf.DUMMYFUNCTION("""COMPUTED_VALUE"""),"White shoes size 43")</f>
        <v>White shoes size 43</v>
      </c>
      <c r="D86" s="17" t="str">
        <f>IFERROR(__xludf.DUMMYFUNCTION("""COMPUTED_VALUE"""),"Nabin")</f>
        <v>Nabin</v>
      </c>
      <c r="E86" s="17" t="str">
        <f>IFERROR(__xludf.DUMMYFUNCTION("""COMPUTED_VALUE"""),"Bhaktapur duwakot near kmc hospital")</f>
        <v>Bhaktapur duwakot near kmc hospital</v>
      </c>
      <c r="F86" s="17">
        <f>IFERROR(__xludf.DUMMYFUNCTION("""COMPUTED_VALUE"""),9.849083465E9)</f>
        <v>9849083465</v>
      </c>
      <c r="G86" s="22">
        <f>IFERROR(__xludf.DUMMYFUNCTION("""COMPUTED_VALUE"""),300.0)</f>
        <v>300</v>
      </c>
      <c r="H86" s="22">
        <f>IFERROR(__xludf.DUMMYFUNCTION("""COMPUTED_VALUE"""),1300.0)</f>
        <v>1300</v>
      </c>
      <c r="I86" s="22">
        <f>IFERROR(__xludf.DUMMYFUNCTION("""COMPUTED_VALUE"""),3.25)</f>
        <v>3.25</v>
      </c>
      <c r="J86" s="17" t="str">
        <f>IFERROR(__xludf.DUMMYFUNCTION("""COMPUTED_VALUE"""),"Delivered")</f>
        <v>Delivered</v>
      </c>
      <c r="K86" s="18">
        <f>IFERROR(__xludf.DUMMYFUNCTION("""COMPUTED_VALUE"""),45806.49050925926)</f>
        <v>45806.49051</v>
      </c>
      <c r="L86" s="17" t="str">
        <f>IFERROR(__xludf.DUMMYFUNCTION("IFS(
  OR(REGEXMATCH(LOWER(E86), ""sirutar|sundarijal|sitapaila|duwakot|tikathali|bhaktapur|lalitpur|kathmandu|ktm|changunarayan|bageswari|ghalate|tinkune|balkot|tikathali""), REGEXMATCH(LOWER(E86), ""inside valley"")), ""Inside Valley"",
  REGEXMATCH(LOW"&amp;"ER(E86), ""dharan|pokhara|biratnagar|birgunj|narayanghat|itahari|hetauda|janakpur|madi""), ""Tier 1"",
  REGEXMATCH(LOWER(E86), ""nepalgunj|butwal|birtamod|dhangadhi|ghorahi|beni|kushma|waling|haldibari|dulegauda|baitadi|bhadrapur|syangja|parbat|myagdi|da"&amp;"ng|nuwakot|jhapa""), ""Tier 2"",
  TRUE, ""Tier 3""
)"),"Inside Valley")</f>
        <v>Inside Valley</v>
      </c>
      <c r="M86" s="20" t="s">
        <v>479</v>
      </c>
    </row>
    <row r="87">
      <c r="B87" s="18">
        <f>IFERROR(__xludf.DUMMYFUNCTION("""COMPUTED_VALUE"""),45806.18256944444)</f>
        <v>45806.18257</v>
      </c>
      <c r="C87" s="17" t="str">
        <f>IFERROR(__xludf.DUMMYFUNCTION("""COMPUTED_VALUE"""),"Sr shoes size 39")</f>
        <v>Sr shoes size 39</v>
      </c>
      <c r="D87" s="17" t="str">
        <f>IFERROR(__xludf.DUMMYFUNCTION("""COMPUTED_VALUE"""),"Siddharth")</f>
        <v>Siddharth</v>
      </c>
      <c r="E87" s="17" t="str">
        <f>IFERROR(__xludf.DUMMYFUNCTION("""COMPUTED_VALUE"""),"PepsiCola kapur garden, ktm")</f>
        <v>PepsiCola kapur garden, ktm</v>
      </c>
      <c r="F87" s="17">
        <f>IFERROR(__xludf.DUMMYFUNCTION("""COMPUTED_VALUE"""),9.865111985E9)</f>
        <v>9865111985</v>
      </c>
      <c r="G87" s="22">
        <f>IFERROR(__xludf.DUMMYFUNCTION("""COMPUTED_VALUE"""),260.0)</f>
        <v>260</v>
      </c>
      <c r="H87" s="22">
        <f>IFERROR(__xludf.DUMMYFUNCTION("""COMPUTED_VALUE"""),1260.0)</f>
        <v>1260</v>
      </c>
      <c r="I87" s="22">
        <f>IFERROR(__xludf.DUMMYFUNCTION("""COMPUTED_VALUE"""),3.15)</f>
        <v>3.15</v>
      </c>
      <c r="J87" s="17" t="str">
        <f>IFERROR(__xludf.DUMMYFUNCTION("""COMPUTED_VALUE"""),"Delivered")</f>
        <v>Delivered</v>
      </c>
      <c r="K87" s="18">
        <f>IFERROR(__xludf.DUMMYFUNCTION("""COMPUTED_VALUE"""),45806.51385416667)</f>
        <v>45806.51385</v>
      </c>
      <c r="L87" s="17" t="str">
        <f>IFERROR(__xludf.DUMMYFUNCTION("IFS(
  OR(REGEXMATCH(LOWER(E87), ""sirutar|sundarijal|sitapaila|duwakot|tikathali|bhaktapur|lalitpur|kathmandu|ktm|changunarayan|bageswari|ghalate|tinkune|balkot|tikathali""), REGEXMATCH(LOWER(E87), ""inside valley"")), ""Inside Valley"",
  REGEXMATCH(LOW"&amp;"ER(E87), ""dharan|pokhara|biratnagar|birgunj|narayanghat|itahari|hetauda|janakpur|madi""), ""Tier 1"",
  REGEXMATCH(LOWER(E87), ""nepalgunj|butwal|birtamod|dhangadhi|ghorahi|beni|kushma|waling|haldibari|dulegauda|baitadi|bhadrapur|syangja|parbat|myagdi|da"&amp;"ng|nuwakot|jhapa""), ""Tier 2"",
  TRUE, ""Tier 3""
)"),"Inside Valley")</f>
        <v>Inside Valley</v>
      </c>
      <c r="M87" s="20" t="s">
        <v>479</v>
      </c>
    </row>
    <row r="88">
      <c r="B88" s="18">
        <f>IFERROR(__xludf.DUMMYFUNCTION("""COMPUTED_VALUE"""),45806.17908564815)</f>
        <v>45806.17909</v>
      </c>
      <c r="C88" s="17" t="str">
        <f>IFERROR(__xludf.DUMMYFUNCTION("""COMPUTED_VALUE"""),"Samba shoes size 37")</f>
        <v>Samba shoes size 37</v>
      </c>
      <c r="D88" s="17" t="str">
        <f>IFERROR(__xludf.DUMMYFUNCTION("""COMPUTED_VALUE"""),"Jenny kumal")</f>
        <v>Jenny kumal</v>
      </c>
      <c r="E88" s="17" t="str">
        <f>IFERROR(__xludf.DUMMYFUNCTION("""COMPUTED_VALUE"""),"Kushma parbat")</f>
        <v>Kushma parbat</v>
      </c>
      <c r="F88" s="17">
        <f>IFERROR(__xludf.DUMMYFUNCTION("""COMPUTED_VALUE"""),9.805122929E9)</f>
        <v>9805122929</v>
      </c>
      <c r="G88" s="22">
        <f>IFERROR(__xludf.DUMMYFUNCTION("""COMPUTED_VALUE"""),300.0)</f>
        <v>300</v>
      </c>
      <c r="H88" s="22">
        <f>IFERROR(__xludf.DUMMYFUNCTION("""COMPUTED_VALUE"""),1300.0)</f>
        <v>1300</v>
      </c>
      <c r="I88" s="22">
        <f>IFERROR(__xludf.DUMMYFUNCTION("""COMPUTED_VALUE"""),82.25)</f>
        <v>82.25</v>
      </c>
      <c r="J88" s="17" t="str">
        <f>IFERROR(__xludf.DUMMYFUNCTION("""COMPUTED_VALUE"""),"Delivered")</f>
        <v>Delivered</v>
      </c>
      <c r="K88" s="18">
        <f>IFERROR(__xludf.DUMMYFUNCTION("""COMPUTED_VALUE"""),45813.317291666666)</f>
        <v>45813.31729</v>
      </c>
      <c r="L88" s="17" t="str">
        <f>IFERROR(__xludf.DUMMYFUNCTION("IFS(
  OR(REGEXMATCH(LOWER(E88), ""sirutar|sundarijal|sitapaila|duwakot|tikathali|bhaktapur|lalitpur|kathmandu|ktm|changunarayan|bageswari|ghalate|tinkune|balkot|tikathali""), REGEXMATCH(LOWER(E88), ""inside valley"")), ""Inside Valley"",
  REGEXMATCH(LOW"&amp;"ER(E88), ""dharan|pokhara|biratnagar|birgunj|narayanghat|itahari|hetauda|janakpur|madi""), ""Tier 1"",
  REGEXMATCH(LOWER(E88), ""nepalgunj|butwal|birtamod|dhangadhi|ghorahi|beni|kushma|waling|haldibari|dulegauda|baitadi|bhadrapur|syangja|parbat|myagdi|da"&amp;"ng|nuwakot|jhapa""), ""Tier 2"",
  TRUE, ""Tier 3""
)"),"Tier 2")</f>
        <v>Tier 2</v>
      </c>
      <c r="M88" s="20" t="s">
        <v>482</v>
      </c>
    </row>
    <row r="89">
      <c r="B89" s="18">
        <f>IFERROR(__xludf.DUMMYFUNCTION("""COMPUTED_VALUE"""),45806.17574074074)</f>
        <v>45806.17574</v>
      </c>
      <c r="C89" s="17" t="str">
        <f>IFERROR(__xludf.DUMMYFUNCTION("""COMPUTED_VALUE"""),"Dr. Martin single sole size 41")</f>
        <v>Dr. Martin single sole size 41</v>
      </c>
      <c r="D89" s="17" t="str">
        <f>IFERROR(__xludf.DUMMYFUNCTION("""COMPUTED_VALUE"""),"Ram karki")</f>
        <v>Ram karki</v>
      </c>
      <c r="E89" s="17" t="str">
        <f>IFERROR(__xludf.DUMMYFUNCTION("""COMPUTED_VALUE"""),"Bhojpur")</f>
        <v>Bhojpur</v>
      </c>
      <c r="F89" s="17">
        <f>IFERROR(__xludf.DUMMYFUNCTION("""COMPUTED_VALUE"""),9.864549595E9)</f>
        <v>9864549595</v>
      </c>
      <c r="G89" s="22">
        <f>IFERROR(__xludf.DUMMYFUNCTION("""COMPUTED_VALUE"""),300.0)</f>
        <v>300</v>
      </c>
      <c r="H89" s="22">
        <f>IFERROR(__xludf.DUMMYFUNCTION("""COMPUTED_VALUE"""),1300.0)</f>
        <v>1300</v>
      </c>
      <c r="I89" s="22">
        <f>IFERROR(__xludf.DUMMYFUNCTION("""COMPUTED_VALUE"""),82.25)</f>
        <v>82.25</v>
      </c>
      <c r="J89" s="17" t="str">
        <f>IFERROR(__xludf.DUMMYFUNCTION("""COMPUTED_VALUE"""),"Delivered")</f>
        <v>Delivered</v>
      </c>
      <c r="K89" s="18">
        <f>IFERROR(__xludf.DUMMYFUNCTION("""COMPUTED_VALUE"""),45809.59614583333)</f>
        <v>45809.59615</v>
      </c>
      <c r="L89" s="17" t="str">
        <f>IFERROR(__xludf.DUMMYFUNCTION("IFS(
  OR(REGEXMATCH(LOWER(E89), ""sirutar|sundarijal|sitapaila|duwakot|tikathali|bhaktapur|lalitpur|kathmandu|ktm|changunarayan|bageswari|ghalate|tinkune|balkot|tikathali""), REGEXMATCH(LOWER(E89), ""inside valley"")), ""Inside Valley"",
  REGEXMATCH(LOW"&amp;"ER(E89), ""dharan|pokhara|biratnagar|birgunj|narayanghat|itahari|hetauda|janakpur|madi""), ""Tier 1"",
  REGEXMATCH(LOWER(E89), ""nepalgunj|butwal|birtamod|dhangadhi|ghorahi|beni|kushma|waling|haldibari|dulegauda|baitadi|bhadrapur|syangja|parbat|myagdi|da"&amp;"ng|nuwakot|jhapa""), ""Tier 2"",
  TRUE, ""Tier 3""
)"),"Tier 3")</f>
        <v>Tier 3</v>
      </c>
      <c r="M89" s="20" t="s">
        <v>474</v>
      </c>
    </row>
    <row r="90">
      <c r="B90" s="18">
        <f>IFERROR(__xludf.DUMMYFUNCTION("""COMPUTED_VALUE"""),45806.172673611116)</f>
        <v>45806.17267</v>
      </c>
      <c r="C90" s="17" t="str">
        <f>IFERROR(__xludf.DUMMYFUNCTION("""COMPUTED_VALUE"""),"Sport shoes Nike waterproof size 42")</f>
        <v>Sport shoes Nike waterproof size 42</v>
      </c>
      <c r="D90" s="17" t="str">
        <f>IFERROR(__xludf.DUMMYFUNCTION("""COMPUTED_VALUE"""),"Dil Bahadur pariyar")</f>
        <v>Dil Bahadur pariyar</v>
      </c>
      <c r="E90" s="17" t="str">
        <f>IFERROR(__xludf.DUMMYFUNCTION("""COMPUTED_VALUE"""),"Pokhara 18, besitol near baglung buspark")</f>
        <v>Pokhara 18, besitol near baglung buspark</v>
      </c>
      <c r="F90" s="17">
        <f>IFERROR(__xludf.DUMMYFUNCTION("""COMPUTED_VALUE"""),9.805885012E9)</f>
        <v>9805885012</v>
      </c>
      <c r="G90" s="22">
        <f>IFERROR(__xludf.DUMMYFUNCTION("""COMPUTED_VALUE"""),300.0)</f>
        <v>300</v>
      </c>
      <c r="H90" s="22">
        <f>IFERROR(__xludf.DUMMYFUNCTION("""COMPUTED_VALUE"""),1300.0)</f>
        <v>1300</v>
      </c>
      <c r="I90" s="22">
        <f>IFERROR(__xludf.DUMMYFUNCTION("""COMPUTED_VALUE"""),82.25)</f>
        <v>82.25</v>
      </c>
      <c r="J90" s="17" t="str">
        <f>IFERROR(__xludf.DUMMYFUNCTION("""COMPUTED_VALUE"""),"Delivered")</f>
        <v>Delivered</v>
      </c>
      <c r="K90" s="18">
        <f>IFERROR(__xludf.DUMMYFUNCTION("""COMPUTED_VALUE"""),45807.33319444444)</f>
        <v>45807.33319</v>
      </c>
      <c r="L90" s="17" t="str">
        <f>IFERROR(__xludf.DUMMYFUNCTION("IFS(
  OR(REGEXMATCH(LOWER(E90), ""sirutar|sundarijal|sitapaila|duwakot|tikathali|bhaktapur|lalitpur|kathmandu|ktm|changunarayan|bageswari|ghalate|tinkune|balkot|tikathali""), REGEXMATCH(LOWER(E90), ""inside valley"")), ""Inside Valley"",
  REGEXMATCH(LOW"&amp;"ER(E90), ""dharan|pokhara|biratnagar|birgunj|narayanghat|itahari|hetauda|janakpur|madi""), ""Tier 1"",
  REGEXMATCH(LOWER(E90), ""nepalgunj|butwal|birtamod|dhangadhi|ghorahi|beni|kushma|waling|haldibari|dulegauda|baitadi|bhadrapur|syangja|parbat|myagdi|da"&amp;"ng|nuwakot|jhapa""), ""Tier 2"",
  TRUE, ""Tier 3""
)"),"Tier 1")</f>
        <v>Tier 1</v>
      </c>
      <c r="M90" s="20" t="s">
        <v>482</v>
      </c>
    </row>
    <row r="91">
      <c r="B91" s="18">
        <f>IFERROR(__xludf.DUMMYFUNCTION("""COMPUTED_VALUE"""),45785.089317129634)</f>
        <v>45785.08932</v>
      </c>
      <c r="C91" s="17" t="str">
        <f>IFERROR(__xludf.DUMMYFUNCTION("""COMPUTED_VALUE"""),"Red jordan")</f>
        <v>Red jordan</v>
      </c>
      <c r="D91" s="17" t="str">
        <f>IFERROR(__xludf.DUMMYFUNCTION("""COMPUTED_VALUE"""),"Aditya mukhiya bin")</f>
        <v>Aditya mukhiya bin</v>
      </c>
      <c r="E91" s="17" t="str">
        <f>IFERROR(__xludf.DUMMYFUNCTION("""COMPUTED_VALUE"""),"Mmc college road, manakamana chowk, hetauda")</f>
        <v>Mmc college road, manakamana chowk, hetauda</v>
      </c>
      <c r="F91" s="17">
        <f>IFERROR(__xludf.DUMMYFUNCTION("""COMPUTED_VALUE"""),9.704578101E9)</f>
        <v>9704578101</v>
      </c>
      <c r="G91" s="22">
        <f>IFERROR(__xludf.DUMMYFUNCTION("""COMPUTED_VALUE"""),200.0)</f>
        <v>200</v>
      </c>
      <c r="H91" s="22">
        <f>IFERROR(__xludf.DUMMYFUNCTION("""COMPUTED_VALUE"""),1200.0)</f>
        <v>1200</v>
      </c>
      <c r="I91" s="22">
        <f>IFERROR(__xludf.DUMMYFUNCTION("""COMPUTED_VALUE"""),3.0)</f>
        <v>3</v>
      </c>
      <c r="J91" s="17" t="str">
        <f>IFERROR(__xludf.DUMMYFUNCTION("""COMPUTED_VALUE"""),"Delivered")</f>
        <v>Delivered</v>
      </c>
      <c r="K91" s="18">
        <f>IFERROR(__xludf.DUMMYFUNCTION("""COMPUTED_VALUE"""),45786.363078703704)</f>
        <v>45786.36308</v>
      </c>
      <c r="L91" s="17" t="str">
        <f>IFERROR(__xludf.DUMMYFUNCTION("IFS(
  OR(REGEXMATCH(LOWER(E91), ""sirutar|sundarijal|sitapaila|duwakot|tikathali|bhaktapur|lalitpur|kathmandu|ktm|changunarayan|bageswari|ghalate|tinkune|balkot|tikathali""), REGEXMATCH(LOWER(E91), ""inside valley"")), ""Inside Valley"",
  REGEXMATCH(LOW"&amp;"ER(E91), ""dharan|pokhara|biratnagar|birgunj|narayanghat|itahari|hetauda|janakpur|madi""), ""Tier 1"",
  REGEXMATCH(LOWER(E91), ""nepalgunj|butwal|birtamod|dhangadhi|ghorahi|beni|kushma|waling|haldibari|dulegauda|baitadi|bhadrapur|syangja|parbat|myagdi|da"&amp;"ng|nuwakot|jhapa""), ""Tier 2"",
  TRUE, ""Tier 3""
)"),"Tier 1")</f>
        <v>Tier 1</v>
      </c>
      <c r="M91" s="20" t="s">
        <v>479</v>
      </c>
    </row>
    <row r="92">
      <c r="B92" s="18">
        <f>IFERROR(__xludf.DUMMYFUNCTION("""COMPUTED_VALUE"""),45785.08814814815)</f>
        <v>45785.08815</v>
      </c>
      <c r="C92" s="17" t="str">
        <f>IFERROR(__xludf.DUMMYFUNCTION("""COMPUTED_VALUE"""),"Maroon full Jordan of size 42")</f>
        <v>Maroon full Jordan of size 42</v>
      </c>
      <c r="D92" s="17" t="str">
        <f>IFERROR(__xludf.DUMMYFUNCTION("""COMPUTED_VALUE"""),"Dany")</f>
        <v>Dany</v>
      </c>
      <c r="E92" s="17" t="str">
        <f>IFERROR(__xludf.DUMMYFUNCTION("""COMPUTED_VALUE"""),"Katari, udayapur")</f>
        <v>Katari, udayapur</v>
      </c>
      <c r="F92" s="17">
        <f>IFERROR(__xludf.DUMMYFUNCTION("""COMPUTED_VALUE"""),9.708876627E9)</f>
        <v>9708876627</v>
      </c>
      <c r="G92" s="22">
        <f>IFERROR(__xludf.DUMMYFUNCTION("""COMPUTED_VALUE"""),200.0)</f>
        <v>200</v>
      </c>
      <c r="H92" s="22">
        <f>IFERROR(__xludf.DUMMYFUNCTION("""COMPUTED_VALUE"""),1200.0)</f>
        <v>1200</v>
      </c>
      <c r="I92" s="22">
        <f>IFERROR(__xludf.DUMMYFUNCTION("""COMPUTED_VALUE"""),3.0)</f>
        <v>3</v>
      </c>
      <c r="J92" s="17" t="str">
        <f>IFERROR(__xludf.DUMMYFUNCTION("""COMPUTED_VALUE"""),"Delivered")</f>
        <v>Delivered</v>
      </c>
      <c r="K92" s="18">
        <f>IFERROR(__xludf.DUMMYFUNCTION("""COMPUTED_VALUE"""),45790.40101851852)</f>
        <v>45790.40102</v>
      </c>
      <c r="L92" s="17" t="str">
        <f>IFERROR(__xludf.DUMMYFUNCTION("IFS(
  OR(REGEXMATCH(LOWER(E92), ""sirutar|sundarijal|sitapaila|duwakot|tikathali|bhaktapur|lalitpur|kathmandu|ktm|changunarayan|bageswari|ghalate|tinkune|balkot|tikathali""), REGEXMATCH(LOWER(E92), ""inside valley"")), ""Inside Valley"",
  REGEXMATCH(LOW"&amp;"ER(E92), ""dharan|pokhara|biratnagar|birgunj|narayanghat|itahari|hetauda|janakpur|madi""), ""Tier 1"",
  REGEXMATCH(LOWER(E92), ""nepalgunj|butwal|birtamod|dhangadhi|ghorahi|beni|kushma|waling|haldibari|dulegauda|baitadi|bhadrapur|syangja|parbat|myagdi|da"&amp;"ng|nuwakot|jhapa""), ""Tier 2"",
  TRUE, ""Tier 3""
)"),"Tier 3")</f>
        <v>Tier 3</v>
      </c>
      <c r="M92" s="20" t="s">
        <v>474</v>
      </c>
    </row>
    <row r="93">
      <c r="B93" s="18">
        <f>IFERROR(__xludf.DUMMYFUNCTION("""COMPUTED_VALUE"""),45782.225543981476)</f>
        <v>45782.22554</v>
      </c>
      <c r="C93" s="17" t="str">
        <f>IFERROR(__xludf.DUMMYFUNCTION("""COMPUTED_VALUE"""),"Red full Jordan and white Nike of size 41 costing RS. 1200 each")</f>
        <v>Red full Jordan and white Nike of size 41 costing RS. 1200 each</v>
      </c>
      <c r="D93" s="17" t="str">
        <f>IFERROR(__xludf.DUMMYFUNCTION("""COMPUTED_VALUE"""),"Arman Kapar")</f>
        <v>Arman Kapar</v>
      </c>
      <c r="E93" s="17" t="str">
        <f>IFERROR(__xludf.DUMMYFUNCTION("""COMPUTED_VALUE"""),"Gyanseshwor Chowk opposite of German embassy")</f>
        <v>Gyanseshwor Chowk opposite of German embassy</v>
      </c>
      <c r="F93" s="17">
        <f>IFERROR(__xludf.DUMMYFUNCTION("""COMPUTED_VALUE"""),9.813149928E9)</f>
        <v>9813149928</v>
      </c>
      <c r="G93" s="22">
        <f>IFERROR(__xludf.DUMMYFUNCTION("""COMPUTED_VALUE"""),400.0)</f>
        <v>400</v>
      </c>
      <c r="H93" s="22">
        <f>IFERROR(__xludf.DUMMYFUNCTION("""COMPUTED_VALUE"""),2400.0)</f>
        <v>2400</v>
      </c>
      <c r="I93" s="22">
        <f>IFERROR(__xludf.DUMMYFUNCTION("""COMPUTED_VALUE"""),6.0)</f>
        <v>6</v>
      </c>
      <c r="J93" s="17" t="str">
        <f>IFERROR(__xludf.DUMMYFUNCTION("""COMPUTED_VALUE"""),"Delivered")</f>
        <v>Delivered</v>
      </c>
      <c r="K93" s="18">
        <f>IFERROR(__xludf.DUMMYFUNCTION("""COMPUTED_VALUE"""),45783.21871527778)</f>
        <v>45783.21872</v>
      </c>
      <c r="L93" s="17" t="str">
        <f>IFERROR(__xludf.DUMMYFUNCTION("IFS(
  OR(REGEXMATCH(LOWER(E93), ""sirutar|sundarijal|sitapaila|duwakot|tikathali|bhaktapur|lalitpur|kathmandu|ktm|changunarayan|bageswari|ghalate|tinkune|balkot|tikathali""), REGEXMATCH(LOWER(E93), ""inside valley"")), ""Inside Valley"",
  REGEXMATCH(LOW"&amp;"ER(E93), ""dharan|pokhara|biratnagar|birgunj|narayanghat|itahari|hetauda|janakpur|madi""), ""Tier 1"",
  REGEXMATCH(LOWER(E93), ""nepalgunj|butwal|birtamod|dhangadhi|ghorahi|beni|kushma|waling|haldibari|dulegauda|baitadi|bhadrapur|syangja|parbat|myagdi|da"&amp;"ng|nuwakot|jhapa""), ""Tier 2"",
  TRUE, ""Tier 3""
)"),"Tier 3")</f>
        <v>Tier 3</v>
      </c>
      <c r="M93" s="20" t="s">
        <v>479</v>
      </c>
    </row>
    <row r="94">
      <c r="B94" s="18">
        <f>IFERROR(__xludf.DUMMYFUNCTION("""COMPUTED_VALUE"""),45782.1949537037)</f>
        <v>45782.19495</v>
      </c>
      <c r="C94" s="17" t="str">
        <f>IFERROR(__xludf.DUMMYFUNCTION("""COMPUTED_VALUE"""),"Sb dunk low pro of size 42 costing RS. 1200")</f>
        <v>Sb dunk low pro of size 42 costing RS. 1200</v>
      </c>
      <c r="D94" s="17" t="str">
        <f>IFERROR(__xludf.DUMMYFUNCTION("""COMPUTED_VALUE"""),"Iman Panta")</f>
        <v>Iman Panta</v>
      </c>
      <c r="E94" s="17" t="str">
        <f>IFERROR(__xludf.DUMMYFUNCTION("""COMPUTED_VALUE"""),"Dungedhara-16, basanthali")</f>
        <v>Dungedhara-16, basanthali</v>
      </c>
      <c r="F94" s="17">
        <f>IFERROR(__xludf.DUMMYFUNCTION("""COMPUTED_VALUE"""),9.709300431E9)</f>
        <v>9709300431</v>
      </c>
      <c r="G94" s="22">
        <f>IFERROR(__xludf.DUMMYFUNCTION("""COMPUTED_VALUE"""),200.0)</f>
        <v>200</v>
      </c>
      <c r="H94" s="22">
        <f>IFERROR(__xludf.DUMMYFUNCTION("""COMPUTED_VALUE"""),1200.0)</f>
        <v>1200</v>
      </c>
      <c r="I94" s="22">
        <f>IFERROR(__xludf.DUMMYFUNCTION("""COMPUTED_VALUE"""),3.0)</f>
        <v>3</v>
      </c>
      <c r="J94" s="17" t="str">
        <f>IFERROR(__xludf.DUMMYFUNCTION("""COMPUTED_VALUE"""),"Delivered")</f>
        <v>Delivered</v>
      </c>
      <c r="K94" s="18">
        <f>IFERROR(__xludf.DUMMYFUNCTION("""COMPUTED_VALUE"""),45782.53430555556)</f>
        <v>45782.53431</v>
      </c>
      <c r="L94" s="17" t="str">
        <f>IFERROR(__xludf.DUMMYFUNCTION("IFS(
  OR(REGEXMATCH(LOWER(E94), ""sirutar|sundarijal|sitapaila|duwakot|tikathali|bhaktapur|lalitpur|kathmandu|ktm|changunarayan|bageswari|ghalate|tinkune|balkot|tikathali""), REGEXMATCH(LOWER(E94), ""inside valley"")), ""Inside Valley"",
  REGEXMATCH(LOW"&amp;"ER(E94), ""dharan|pokhara|biratnagar|birgunj|narayanghat|itahari|hetauda|janakpur|madi""), ""Tier 1"",
  REGEXMATCH(LOWER(E94), ""nepalgunj|butwal|birtamod|dhangadhi|ghorahi|beni|kushma|waling|haldibari|dulegauda|baitadi|bhadrapur|syangja|parbat|myagdi|da"&amp;"ng|nuwakot|jhapa""), ""Tier 2"",
  TRUE, ""Tier 3""
)"),"Tier 3")</f>
        <v>Tier 3</v>
      </c>
      <c r="M94" s="20" t="s">
        <v>479</v>
      </c>
    </row>
    <row r="95">
      <c r="B95" s="18">
        <f>IFERROR(__xludf.DUMMYFUNCTION("""COMPUTED_VALUE"""),45782.15113425926)</f>
        <v>45782.15113</v>
      </c>
      <c r="C95" s="17" t="str">
        <f>IFERROR(__xludf.DUMMYFUNCTION("""COMPUTED_VALUE"""),"Black Nike shoes of size 43 costing RS. 1200")</f>
        <v>Black Nike shoes of size 43 costing RS. 1200</v>
      </c>
      <c r="D95" s="17" t="str">
        <f>IFERROR(__xludf.DUMMYFUNCTION("""COMPUTED_VALUE"""),"Roshan Rajbanshi")</f>
        <v>Roshan Rajbanshi</v>
      </c>
      <c r="E95" s="17" t="str">
        <f>IFERROR(__xludf.DUMMYFUNCTION("""COMPUTED_VALUE"""),"Kakarvitta( Mechinagar-7, satighatta)")</f>
        <v>Kakarvitta( Mechinagar-7, satighatta)</v>
      </c>
      <c r="F95" s="17">
        <f>IFERROR(__xludf.DUMMYFUNCTION("""COMPUTED_VALUE"""),9.807919104E9)</f>
        <v>9807919104</v>
      </c>
      <c r="G95" s="22">
        <f>IFERROR(__xludf.DUMMYFUNCTION("""COMPUTED_VALUE"""),200.0)</f>
        <v>200</v>
      </c>
      <c r="H95" s="22">
        <f>IFERROR(__xludf.DUMMYFUNCTION("""COMPUTED_VALUE"""),1200.0)</f>
        <v>1200</v>
      </c>
      <c r="I95" s="22">
        <f>IFERROR(__xludf.DUMMYFUNCTION("""COMPUTED_VALUE"""),3.0)</f>
        <v>3</v>
      </c>
      <c r="J95" s="17" t="str">
        <f>IFERROR(__xludf.DUMMYFUNCTION("""COMPUTED_VALUE"""),"Delivered")</f>
        <v>Delivered</v>
      </c>
      <c r="K95" s="18">
        <f>IFERROR(__xludf.DUMMYFUNCTION("""COMPUTED_VALUE"""),45785.47127314815)</f>
        <v>45785.47127</v>
      </c>
      <c r="L95" s="17" t="str">
        <f>IFERROR(__xludf.DUMMYFUNCTION("IFS(
  OR(REGEXMATCH(LOWER(E95), ""sirutar|sundarijal|sitapaila|duwakot|tikathali|bhaktapur|lalitpur|kathmandu|ktm|changunarayan|bageswari|ghalate|tinkune|balkot|tikathali""), REGEXMATCH(LOWER(E95), ""inside valley"")), ""Inside Valley"",
  REGEXMATCH(LOW"&amp;"ER(E95), ""dharan|pokhara|biratnagar|birgunj|narayanghat|itahari|hetauda|janakpur|madi""), ""Tier 1"",
  REGEXMATCH(LOWER(E95), ""nepalgunj|butwal|birtamod|dhangadhi|ghorahi|beni|kushma|waling|haldibari|dulegauda|baitadi|bhadrapur|syangja|parbat|myagdi|da"&amp;"ng|nuwakot|jhapa""), ""Tier 2"",
  TRUE, ""Tier 3""
)"),"Tier 3")</f>
        <v>Tier 3</v>
      </c>
      <c r="M95" s="20" t="s">
        <v>474</v>
      </c>
    </row>
    <row r="96">
      <c r="B96" s="18">
        <f>IFERROR(__xludf.DUMMYFUNCTION("""COMPUTED_VALUE"""),45782.14842592593)</f>
        <v>45782.14843</v>
      </c>
      <c r="C96" s="17" t="str">
        <f>IFERROR(__xludf.DUMMYFUNCTION("""COMPUTED_VALUE"""),"Chocolaty Nike and black tbl of size 43 costing RS 1200 each")</f>
        <v>Chocolaty Nike and black tbl of size 43 costing RS 1200 each</v>
      </c>
      <c r="D96" s="17" t="str">
        <f>IFERROR(__xludf.DUMMYFUNCTION("""COMPUTED_VALUE"""),"Marco Kapali")</f>
        <v>Marco Kapali</v>
      </c>
      <c r="E96" s="17" t="str">
        <f>IFERROR(__xludf.DUMMYFUNCTION("""COMPUTED_VALUE"""),"Thankoat")</f>
        <v>Thankoat</v>
      </c>
      <c r="F96" s="17">
        <f>IFERROR(__xludf.DUMMYFUNCTION("""COMPUTED_VALUE"""),9.741759216E9)</f>
        <v>9741759216</v>
      </c>
      <c r="G96" s="22">
        <f>IFERROR(__xludf.DUMMYFUNCTION("""COMPUTED_VALUE"""),400.0)</f>
        <v>400</v>
      </c>
      <c r="H96" s="22">
        <f>IFERROR(__xludf.DUMMYFUNCTION("""COMPUTED_VALUE"""),2400.0)</f>
        <v>2400</v>
      </c>
      <c r="I96" s="22">
        <f>IFERROR(__xludf.DUMMYFUNCTION("""COMPUTED_VALUE"""),6.0)</f>
        <v>6</v>
      </c>
      <c r="J96" s="17" t="str">
        <f>IFERROR(__xludf.DUMMYFUNCTION("""COMPUTED_VALUE"""),"Delivered")</f>
        <v>Delivered</v>
      </c>
      <c r="K96" s="18">
        <f>IFERROR(__xludf.DUMMYFUNCTION("""COMPUTED_VALUE"""),45783.400925925926)</f>
        <v>45783.40093</v>
      </c>
      <c r="L96" s="17" t="str">
        <f>IFERROR(__xludf.DUMMYFUNCTION("IFS(
  OR(REGEXMATCH(LOWER(E96), ""sirutar|sundarijal|sitapaila|duwakot|tikathali|bhaktapur|lalitpur|kathmandu|ktm|changunarayan|bageswari|ghalate|tinkune|balkot|tikathali""), REGEXMATCH(LOWER(E96), ""inside valley"")), ""Inside Valley"",
  REGEXMATCH(LOW"&amp;"ER(E96), ""dharan|pokhara|biratnagar|birgunj|narayanghat|itahari|hetauda|janakpur|madi""), ""Tier 1"",
  REGEXMATCH(LOWER(E96), ""nepalgunj|butwal|birtamod|dhangadhi|ghorahi|beni|kushma|waling|haldibari|dulegauda|baitadi|bhadrapur|syangja|parbat|myagdi|da"&amp;"ng|nuwakot|jhapa""), ""Tier 2"",
  TRUE, ""Tier 3""
)"),"Tier 3")</f>
        <v>Tier 3</v>
      </c>
      <c r="M96" s="20" t="s">
        <v>479</v>
      </c>
    </row>
    <row r="97">
      <c r="B97" s="18">
        <f>IFERROR(__xludf.DUMMYFUNCTION("""COMPUTED_VALUE"""),45781.22458333333)</f>
        <v>45781.22458</v>
      </c>
      <c r="C97" s="17" t="str">
        <f>IFERROR(__xludf.DUMMYFUNCTION("""COMPUTED_VALUE"""),"Veins size 40 costing RS. 1200")</f>
        <v>Veins size 40 costing RS. 1200</v>
      </c>
      <c r="D97" s="17" t="str">
        <f>IFERROR(__xludf.DUMMYFUNCTION("""COMPUTED_VALUE"""),"Amit Magar")</f>
        <v>Amit Magar</v>
      </c>
      <c r="E97" s="17" t="str">
        <f>IFERROR(__xludf.DUMMYFUNCTION("""COMPUTED_VALUE"""),"Dharan, bhanuchowk")</f>
        <v>Dharan, bhanuchowk</v>
      </c>
      <c r="F97" s="17">
        <f>IFERROR(__xludf.DUMMYFUNCTION("""COMPUTED_VALUE"""),9.84940118E9)</f>
        <v>9849401180</v>
      </c>
      <c r="G97" s="22">
        <f>IFERROR(__xludf.DUMMYFUNCTION("""COMPUTED_VALUE"""),600.0)</f>
        <v>600</v>
      </c>
      <c r="H97" s="22">
        <f>IFERROR(__xludf.DUMMYFUNCTION("""COMPUTED_VALUE"""),1200.0)</f>
        <v>1200</v>
      </c>
      <c r="I97" s="22">
        <f>IFERROR(__xludf.DUMMYFUNCTION("""COMPUTED_VALUE"""),3.0)</f>
        <v>3</v>
      </c>
      <c r="J97" s="17" t="str">
        <f>IFERROR(__xludf.DUMMYFUNCTION("""COMPUTED_VALUE"""),"Delivered")</f>
        <v>Delivered</v>
      </c>
      <c r="K97" s="18">
        <f>IFERROR(__xludf.DUMMYFUNCTION("""COMPUTED_VALUE"""),45783.40699074074)</f>
        <v>45783.40699</v>
      </c>
      <c r="L97" s="17" t="str">
        <f>IFERROR(__xludf.DUMMYFUNCTION("IFS(
  OR(REGEXMATCH(LOWER(E97), ""sirutar|sundarijal|sitapaila|duwakot|tikathali|bhaktapur|lalitpur|kathmandu|ktm|changunarayan|bageswari|ghalate|tinkune|balkot|tikathali""), REGEXMATCH(LOWER(E97), ""inside valley"")), ""Inside Valley"",
  REGEXMATCH(LOW"&amp;"ER(E97), ""dharan|pokhara|biratnagar|birgunj|narayanghat|itahari|hetauda|janakpur|madi""), ""Tier 1"",
  REGEXMATCH(LOWER(E97), ""nepalgunj|butwal|birtamod|dhangadhi|ghorahi|beni|kushma|waling|haldibari|dulegauda|baitadi|bhadrapur|syangja|parbat|myagdi|da"&amp;"ng|nuwakot|jhapa""), ""Tier 2"",
  TRUE, ""Tier 3""
)"),"Tier 1")</f>
        <v>Tier 1</v>
      </c>
      <c r="M97" s="20" t="s">
        <v>474</v>
      </c>
    </row>
    <row r="98">
      <c r="B98" s="18">
        <f>IFERROR(__xludf.DUMMYFUNCTION("""COMPUTED_VALUE"""),45781.123831018514)</f>
        <v>45781.12383</v>
      </c>
      <c r="C98" s="17" t="str">
        <f>IFERROR(__xludf.DUMMYFUNCTION("""COMPUTED_VALUE"""),"Jordan blue of size 43 and as well sb dunk low pro of size 42 costing RS. 1200 each")</f>
        <v>Jordan blue of size 43 and as well sb dunk low pro of size 42 costing RS. 1200 each</v>
      </c>
      <c r="D98" s="17" t="str">
        <f>IFERROR(__xludf.DUMMYFUNCTION("""COMPUTED_VALUE"""),"Arman Kapar")</f>
        <v>Arman Kapar</v>
      </c>
      <c r="E98" s="17" t="str">
        <f>IFERROR(__xludf.DUMMYFUNCTION("""COMPUTED_VALUE"""),"Gyaneshwor chowk")</f>
        <v>Gyaneshwor chowk</v>
      </c>
      <c r="F98" s="17">
        <f>IFERROR(__xludf.DUMMYFUNCTION("""COMPUTED_VALUE"""),9.813149928E9)</f>
        <v>9813149928</v>
      </c>
      <c r="G98" s="22">
        <f>IFERROR(__xludf.DUMMYFUNCTION("""COMPUTED_VALUE"""),0.0)</f>
        <v>0</v>
      </c>
      <c r="H98" s="22">
        <f>IFERROR(__xludf.DUMMYFUNCTION("""COMPUTED_VALUE"""),0.0)</f>
        <v>0</v>
      </c>
      <c r="I98" s="22">
        <f>IFERROR(__xludf.DUMMYFUNCTION("""COMPUTED_VALUE"""),0.0)</f>
        <v>0</v>
      </c>
      <c r="J98" s="17" t="str">
        <f>IFERROR(__xludf.DUMMYFUNCTION("""COMPUTED_VALUE"""),"Delivered")</f>
        <v>Delivered</v>
      </c>
      <c r="K98" s="18">
        <f>IFERROR(__xludf.DUMMYFUNCTION("""COMPUTED_VALUE"""),45781.425162037034)</f>
        <v>45781.42516</v>
      </c>
      <c r="L98" s="17" t="str">
        <f>IFERROR(__xludf.DUMMYFUNCTION("IFS(
  OR(REGEXMATCH(LOWER(E98), ""sirutar|sundarijal|sitapaila|duwakot|tikathali|bhaktapur|lalitpur|kathmandu|ktm|changunarayan|bageswari|ghalate|tinkune|balkot|tikathali""), REGEXMATCH(LOWER(E98), ""inside valley"")), ""Inside Valley"",
  REGEXMATCH(LOW"&amp;"ER(E98), ""dharan|pokhara|biratnagar|birgunj|narayanghat|itahari|hetauda|janakpur|madi""), ""Tier 1"",
  REGEXMATCH(LOWER(E98), ""nepalgunj|butwal|birtamod|dhangadhi|ghorahi|beni|kushma|waling|haldibari|dulegauda|baitadi|bhadrapur|syangja|parbat|myagdi|da"&amp;"ng|nuwakot|jhapa""), ""Tier 2"",
  TRUE, ""Tier 3""
)"),"Tier 3")</f>
        <v>Tier 3</v>
      </c>
      <c r="M98" s="20" t="s">
        <v>479</v>
      </c>
    </row>
    <row r="99">
      <c r="B99" s="18">
        <f>IFERROR(__xludf.DUMMYFUNCTION("""COMPUTED_VALUE"""),45780.74403935185)</f>
        <v>45780.74404</v>
      </c>
      <c r="C99" s="17" t="str">
        <f>IFERROR(__xludf.DUMMYFUNCTION("""COMPUTED_VALUE"""),"Jordan Vietnam red shoes and sb dunk low pro blue of size 42 costing RS. 1200 each")</f>
        <v>Jordan Vietnam red shoes and sb dunk low pro blue of size 42 costing RS. 1200 each</v>
      </c>
      <c r="D99" s="17" t="str">
        <f>IFERROR(__xludf.DUMMYFUNCTION("""COMPUTED_VALUE"""),"Dany")</f>
        <v>Dany</v>
      </c>
      <c r="E99" s="17" t="str">
        <f>IFERROR(__xludf.DUMMYFUNCTION("""COMPUTED_VALUE"""),"Katari, udayapur")</f>
        <v>Katari, udayapur</v>
      </c>
      <c r="F99" s="17">
        <f>IFERROR(__xludf.DUMMYFUNCTION("""COMPUTED_VALUE"""),9.708876627E9)</f>
        <v>9708876627</v>
      </c>
      <c r="G99" s="22">
        <f>IFERROR(__xludf.DUMMYFUNCTION("""COMPUTED_VALUE"""),200.0)</f>
        <v>200</v>
      </c>
      <c r="H99" s="22">
        <f>IFERROR(__xludf.DUMMYFUNCTION("""COMPUTED_VALUE"""),1200.0)</f>
        <v>1200</v>
      </c>
      <c r="I99" s="22">
        <f>IFERROR(__xludf.DUMMYFUNCTION("""COMPUTED_VALUE"""),3.0)</f>
        <v>3</v>
      </c>
      <c r="J99" s="17" t="str">
        <f>IFERROR(__xludf.DUMMYFUNCTION("""COMPUTED_VALUE"""),"Delivered")</f>
        <v>Delivered</v>
      </c>
      <c r="K99" s="18">
        <f>IFERROR(__xludf.DUMMYFUNCTION("""COMPUTED_VALUE"""),45785.37040509259)</f>
        <v>45785.37041</v>
      </c>
      <c r="L99" s="17" t="str">
        <f>IFERROR(__xludf.DUMMYFUNCTION("IFS(
  OR(REGEXMATCH(LOWER(E99), ""sirutar|sundarijal|sitapaila|duwakot|tikathali|bhaktapur|lalitpur|kathmandu|ktm|changunarayan|bageswari|ghalate|tinkune|balkot|tikathali""), REGEXMATCH(LOWER(E99), ""inside valley"")), ""Inside Valley"",
  REGEXMATCH(LOW"&amp;"ER(E99), ""dharan|pokhara|biratnagar|birgunj|narayanghat|itahari|hetauda|janakpur|madi""), ""Tier 1"",
  REGEXMATCH(LOWER(E99), ""nepalgunj|butwal|birtamod|dhangadhi|ghorahi|beni|kushma|waling|haldibari|dulegauda|baitadi|bhadrapur|syangja|parbat|myagdi|da"&amp;"ng|nuwakot|jhapa""), ""Tier 2"",
  TRUE, ""Tier 3""
)"),"Tier 3")</f>
        <v>Tier 3</v>
      </c>
      <c r="M99" s="20" t="s">
        <v>474</v>
      </c>
    </row>
    <row r="100">
      <c r="B100" s="18">
        <f>IFERROR(__xludf.DUMMYFUNCTION("""COMPUTED_VALUE"""),45780.16887731482)</f>
        <v>45780.16888</v>
      </c>
      <c r="C100" s="17" t="str">
        <f>IFERROR(__xludf.DUMMYFUNCTION("""COMPUTED_VALUE"""),"Vans shoes of size 40")</f>
        <v>Vans shoes of size 40</v>
      </c>
      <c r="D100" s="17" t="str">
        <f>IFERROR(__xludf.DUMMYFUNCTION("""COMPUTED_VALUE"""),"Madan Khanal")</f>
        <v>Madan Khanal</v>
      </c>
      <c r="E100" s="17" t="str">
        <f>IFERROR(__xludf.DUMMYFUNCTION("""COMPUTED_VALUE"""),"Milanchowk, butwal")</f>
        <v>Milanchowk, butwal</v>
      </c>
      <c r="F100" s="17">
        <f>IFERROR(__xludf.DUMMYFUNCTION("""COMPUTED_VALUE"""),9.844821643E9)</f>
        <v>9844821643</v>
      </c>
      <c r="G100" s="22">
        <f>IFERROR(__xludf.DUMMYFUNCTION("""COMPUTED_VALUE"""),600.0)</f>
        <v>600</v>
      </c>
      <c r="H100" s="22">
        <f>IFERROR(__xludf.DUMMYFUNCTION("""COMPUTED_VALUE"""),1200.0)</f>
        <v>1200</v>
      </c>
      <c r="I100" s="22">
        <f>IFERROR(__xludf.DUMMYFUNCTION("""COMPUTED_VALUE"""),3.0)</f>
        <v>3</v>
      </c>
      <c r="J100" s="17" t="str">
        <f>IFERROR(__xludf.DUMMYFUNCTION("""COMPUTED_VALUE"""),"Delivered")</f>
        <v>Delivered</v>
      </c>
      <c r="K100" s="18">
        <f>IFERROR(__xludf.DUMMYFUNCTION("""COMPUTED_VALUE"""),45783.40759259259)</f>
        <v>45783.40759</v>
      </c>
      <c r="L100" s="17" t="str">
        <f>IFERROR(__xludf.DUMMYFUNCTION("IFS(
  OR(REGEXMATCH(LOWER(E100), ""sirutar|sundarijal|sitapaila|duwakot|tikathali|bhaktapur|lalitpur|kathmandu|ktm|changunarayan|bageswari|ghalate|tinkune|balkot|tikathali""), REGEXMATCH(LOWER(E100), ""inside valley"")), ""Inside Valley"",
  REGEXMATCH(L"&amp;"OWER(E100), ""dharan|pokhara|biratnagar|birgunj|narayanghat|itahari|hetauda|janakpur|madi""), ""Tier 1"",
  REGEXMATCH(LOWER(E100), ""nepalgunj|butwal|birtamod|dhangadhi|ghorahi|beni|kushma|waling|haldibari|dulegauda|baitadi|bhadrapur|syangja|parbat|myagd"&amp;"i|dang|nuwakot|jhapa""), ""Tier 2"",
  TRUE, ""Tier 3""
)"),"Tier 2")</f>
        <v>Tier 2</v>
      </c>
      <c r="M100" s="20" t="s">
        <v>498</v>
      </c>
    </row>
    <row r="101">
      <c r="B101" s="18">
        <f>IFERROR(__xludf.DUMMYFUNCTION("""COMPUTED_VALUE"""),45780.13763888889)</f>
        <v>45780.13764</v>
      </c>
      <c r="C101" s="17" t="str">
        <f>IFERROR(__xludf.DUMMYFUNCTION("""COMPUTED_VALUE"""),"Black Nike of size 41 costing RS 1200")</f>
        <v>Black Nike of size 41 costing RS 1200</v>
      </c>
      <c r="D101" s="17" t="str">
        <f>IFERROR(__xludf.DUMMYFUNCTION("""COMPUTED_VALUE"""),"Tarzan Chhantyal")</f>
        <v>Tarzan Chhantyal</v>
      </c>
      <c r="E101" s="17" t="str">
        <f>IFERROR(__xludf.DUMMYFUNCTION("""COMPUTED_VALUE"""),"Dilu beauty parlour, tokha")</f>
        <v>Dilu beauty parlour, tokha</v>
      </c>
      <c r="F101" s="17">
        <f>IFERROR(__xludf.DUMMYFUNCTION("""COMPUTED_VALUE"""),9.808462623E9)</f>
        <v>9808462623</v>
      </c>
      <c r="G101" s="22">
        <f>IFERROR(__xludf.DUMMYFUNCTION("""COMPUTED_VALUE"""),200.0)</f>
        <v>200</v>
      </c>
      <c r="H101" s="22">
        <f>IFERROR(__xludf.DUMMYFUNCTION("""COMPUTED_VALUE"""),1200.0)</f>
        <v>1200</v>
      </c>
      <c r="I101" s="22">
        <f>IFERROR(__xludf.DUMMYFUNCTION("""COMPUTED_VALUE"""),3.0)</f>
        <v>3</v>
      </c>
      <c r="J101" s="17" t="str">
        <f>IFERROR(__xludf.DUMMYFUNCTION("""COMPUTED_VALUE"""),"Delivered")</f>
        <v>Delivered</v>
      </c>
      <c r="K101" s="18">
        <f>IFERROR(__xludf.DUMMYFUNCTION("""COMPUTED_VALUE"""),45780.549363425926)</f>
        <v>45780.54936</v>
      </c>
      <c r="L101" s="17" t="str">
        <f>IFERROR(__xludf.DUMMYFUNCTION("IFS(
  OR(REGEXMATCH(LOWER(E101), ""sirutar|sundarijal|sitapaila|duwakot|tikathali|bhaktapur|lalitpur|kathmandu|ktm|changunarayan|bageswari|ghalate|tinkune|balkot|tikathali""), REGEXMATCH(LOWER(E101), ""inside valley"")), ""Inside Valley"",
  REGEXMATCH(L"&amp;"OWER(E101), ""dharan|pokhara|biratnagar|birgunj|narayanghat|itahari|hetauda|janakpur|madi""), ""Tier 1"",
  REGEXMATCH(LOWER(E101), ""nepalgunj|butwal|birtamod|dhangadhi|ghorahi|beni|kushma|waling|haldibari|dulegauda|baitadi|bhadrapur|syangja|parbat|myagd"&amp;"i|dang|nuwakot|jhapa""), ""Tier 2"",
  TRUE, ""Tier 3""
)"),"Tier 3")</f>
        <v>Tier 3</v>
      </c>
      <c r="M101" s="20" t="s">
        <v>479</v>
      </c>
    </row>
    <row r="102">
      <c r="B102" s="18">
        <f>IFERROR(__xludf.DUMMYFUNCTION("""COMPUTED_VALUE"""),45779.77135416667)</f>
        <v>45779.77135</v>
      </c>
      <c r="C102" s="17" t="str">
        <f>IFERROR(__xludf.DUMMYFUNCTION("""COMPUTED_VALUE"""),"White and light chocolate Nike of size 42 costing RS. 1200 each")</f>
        <v>White and light chocolate Nike of size 42 costing RS. 1200 each</v>
      </c>
      <c r="D102" s="17" t="str">
        <f>IFERROR(__xludf.DUMMYFUNCTION("""COMPUTED_VALUE"""),"Rojbin Shrestha")</f>
        <v>Rojbin Shrestha</v>
      </c>
      <c r="E102" s="17" t="str">
        <f>IFERROR(__xludf.DUMMYFUNCTION("""COMPUTED_VALUE"""),"Sankhuwabha, bhanjyang ko lekhawali chwork ")</f>
        <v>Sankhuwabha, bhanjyang ko lekhawali chwork </v>
      </c>
      <c r="F102" s="17">
        <f>IFERROR(__xludf.DUMMYFUNCTION("""COMPUTED_VALUE"""),9.844112221E9)</f>
        <v>9844112221</v>
      </c>
      <c r="G102" s="22">
        <f>IFERROR(__xludf.DUMMYFUNCTION("""COMPUTED_VALUE"""),400.0)</f>
        <v>400</v>
      </c>
      <c r="H102" s="22">
        <f>IFERROR(__xludf.DUMMYFUNCTION("""COMPUTED_VALUE"""),2400.0)</f>
        <v>2400</v>
      </c>
      <c r="I102" s="22">
        <f>IFERROR(__xludf.DUMMYFUNCTION("""COMPUTED_VALUE"""),6.0)</f>
        <v>6</v>
      </c>
      <c r="J102" s="17" t="str">
        <f>IFERROR(__xludf.DUMMYFUNCTION("""COMPUTED_VALUE"""),"Delivered")</f>
        <v>Delivered</v>
      </c>
      <c r="K102" s="18">
        <f>IFERROR(__xludf.DUMMYFUNCTION("""COMPUTED_VALUE"""),45788.653715277775)</f>
        <v>45788.65372</v>
      </c>
      <c r="L102" s="17" t="str">
        <f>IFERROR(__xludf.DUMMYFUNCTION("IFS(
  OR(REGEXMATCH(LOWER(E102), ""sirutar|sundarijal|sitapaila|duwakot|tikathali|bhaktapur|lalitpur|kathmandu|ktm|changunarayan|bageswari|ghalate|tinkune|balkot|tikathali""), REGEXMATCH(LOWER(E102), ""inside valley"")), ""Inside Valley"",
  REGEXMATCH(L"&amp;"OWER(E102), ""dharan|pokhara|biratnagar|birgunj|narayanghat|itahari|hetauda|janakpur|madi""), ""Tier 1"",
  REGEXMATCH(LOWER(E102), ""nepalgunj|butwal|birtamod|dhangadhi|ghorahi|beni|kushma|waling|haldibari|dulegauda|baitadi|bhadrapur|syangja|parbat|myagd"&amp;"i|dang|nuwakot|jhapa""), ""Tier 2"",
  TRUE, ""Tier 3""
)"),"Tier 3")</f>
        <v>Tier 3</v>
      </c>
      <c r="M102" s="20" t="s">
        <v>474</v>
      </c>
    </row>
    <row r="103">
      <c r="B103" s="18">
        <f>IFERROR(__xludf.DUMMYFUNCTION("""COMPUTED_VALUE"""),45779.76646990741)</f>
        <v>45779.76647</v>
      </c>
      <c r="C103" s="17" t="str">
        <f>IFERROR(__xludf.DUMMYFUNCTION("""COMPUTED_VALUE"""),"Black Nike  and blue Jordan of size 42 each costing rs 1200 and 1200")</f>
        <v>Black Nike  and blue Jordan of size 42 each costing rs 1200 and 1200</v>
      </c>
      <c r="D103" s="17" t="str">
        <f>IFERROR(__xludf.DUMMYFUNCTION("""COMPUTED_VALUE"""),"Arman Kapar")</f>
        <v>Arman Kapar</v>
      </c>
      <c r="E103" s="17" t="str">
        <f>IFERROR(__xludf.DUMMYFUNCTION("""COMPUTED_VALUE"""),"Gyaneshwor marg chowk")</f>
        <v>Gyaneshwor marg chowk</v>
      </c>
      <c r="F103" s="17">
        <f>IFERROR(__xludf.DUMMYFUNCTION("""COMPUTED_VALUE"""),9.813149928E9)</f>
        <v>9813149928</v>
      </c>
      <c r="G103" s="22">
        <f>IFERROR(__xludf.DUMMYFUNCTION("""COMPUTED_VALUE"""),400.0)</f>
        <v>400</v>
      </c>
      <c r="H103" s="22">
        <f>IFERROR(__xludf.DUMMYFUNCTION("""COMPUTED_VALUE"""),2400.0)</f>
        <v>2400</v>
      </c>
      <c r="I103" s="22">
        <f>IFERROR(__xludf.DUMMYFUNCTION("""COMPUTED_VALUE"""),6.0)</f>
        <v>6</v>
      </c>
      <c r="J103" s="17" t="str">
        <f>IFERROR(__xludf.DUMMYFUNCTION("""COMPUTED_VALUE"""),"Delivered")</f>
        <v>Delivered</v>
      </c>
      <c r="K103" s="18">
        <f>IFERROR(__xludf.DUMMYFUNCTION("""COMPUTED_VALUE"""),45781.421435185184)</f>
        <v>45781.42144</v>
      </c>
      <c r="L103" s="17" t="str">
        <f>IFERROR(__xludf.DUMMYFUNCTION("IFS(
  OR(REGEXMATCH(LOWER(E103), ""sirutar|sundarijal|sitapaila|duwakot|tikathali|bhaktapur|lalitpur|kathmandu|ktm|changunarayan|bageswari|ghalate|tinkune|balkot|tikathali""), REGEXMATCH(LOWER(E103), ""inside valley"")), ""Inside Valley"",
  REGEXMATCH(L"&amp;"OWER(E103), ""dharan|pokhara|biratnagar|birgunj|narayanghat|itahari|hetauda|janakpur|madi""), ""Tier 1"",
  REGEXMATCH(LOWER(E103), ""nepalgunj|butwal|birtamod|dhangadhi|ghorahi|beni|kushma|waling|haldibari|dulegauda|baitadi|bhadrapur|syangja|parbat|myagd"&amp;"i|dang|nuwakot|jhapa""), ""Tier 2"",
  TRUE, ""Tier 3""
)"),"Tier 3")</f>
        <v>Tier 3</v>
      </c>
      <c r="M103" s="20" t="s">
        <v>479</v>
      </c>
    </row>
    <row r="104">
      <c r="B104" s="18">
        <f>IFERROR(__xludf.DUMMYFUNCTION("""COMPUTED_VALUE"""),45778.757893518516)</f>
        <v>45778.75789</v>
      </c>
      <c r="C104" s="17" t="str">
        <f>IFERROR(__xludf.DUMMYFUNCTION("""COMPUTED_VALUE"""),"nike black shoes of size 41")</f>
        <v>nike black shoes of size 41</v>
      </c>
      <c r="D104" s="17" t="str">
        <f>IFERROR(__xludf.DUMMYFUNCTION("""COMPUTED_VALUE"""),"Prabin Bishwokarma")</f>
        <v>Prabin Bishwokarma</v>
      </c>
      <c r="E104" s="17" t="str">
        <f>IFERROR(__xludf.DUMMYFUNCTION("""COMPUTED_VALUE"""),"suman driving centre, sukhedhara")</f>
        <v>suman driving centre, sukhedhara</v>
      </c>
      <c r="F104" s="17">
        <f>IFERROR(__xludf.DUMMYFUNCTION("""COMPUTED_VALUE"""),9.845832687E9)</f>
        <v>9845832687</v>
      </c>
      <c r="G104" s="22">
        <f>IFERROR(__xludf.DUMMYFUNCTION("""COMPUTED_VALUE"""),200.0)</f>
        <v>200</v>
      </c>
      <c r="H104" s="22">
        <f>IFERROR(__xludf.DUMMYFUNCTION("""COMPUTED_VALUE"""),1200.0)</f>
        <v>1200</v>
      </c>
      <c r="I104" s="22">
        <f>IFERROR(__xludf.DUMMYFUNCTION("""COMPUTED_VALUE"""),3.0)</f>
        <v>3</v>
      </c>
      <c r="J104" s="17" t="str">
        <f>IFERROR(__xludf.DUMMYFUNCTION("""COMPUTED_VALUE"""),"Delivered")</f>
        <v>Delivered</v>
      </c>
      <c r="K104" s="18">
        <f>IFERROR(__xludf.DUMMYFUNCTION("""COMPUTED_VALUE"""),45779.457141203704)</f>
        <v>45779.45714</v>
      </c>
      <c r="L104" s="17" t="str">
        <f>IFERROR(__xludf.DUMMYFUNCTION("IFS(
  OR(REGEXMATCH(LOWER(E104), ""sirutar|sundarijal|sitapaila|duwakot|tikathali|bhaktapur|lalitpur|kathmandu|ktm|changunarayan|bageswari|ghalate|tinkune|balkot|tikathali""), REGEXMATCH(LOWER(E104), ""inside valley"")), ""Inside Valley"",
  REGEXMATCH(L"&amp;"OWER(E104), ""dharan|pokhara|biratnagar|birgunj|narayanghat|itahari|hetauda|janakpur|madi""), ""Tier 1"",
  REGEXMATCH(LOWER(E104), ""nepalgunj|butwal|birtamod|dhangadhi|ghorahi|beni|kushma|waling|haldibari|dulegauda|baitadi|bhadrapur|syangja|parbat|myagd"&amp;"i|dang|nuwakot|jhapa""), ""Tier 2"",
  TRUE, ""Tier 3""
)"),"Tier 3")</f>
        <v>Tier 3</v>
      </c>
      <c r="M104" s="20" t="s">
        <v>479</v>
      </c>
    </row>
    <row r="105">
      <c r="B105" s="18">
        <f>IFERROR(__xludf.DUMMYFUNCTION("""COMPUTED_VALUE"""),45778.75530092593)</f>
        <v>45778.7553</v>
      </c>
      <c r="C105" s="17" t="str">
        <f>IFERROR(__xludf.DUMMYFUNCTION("""COMPUTED_VALUE"""),"nike black 43")</f>
        <v>nike black 43</v>
      </c>
      <c r="D105" s="17" t="str">
        <f>IFERROR(__xludf.DUMMYFUNCTION("""COMPUTED_VALUE"""),"Nischal Kamat")</f>
        <v>Nischal Kamat</v>
      </c>
      <c r="E105" s="17" t="str">
        <f>IFERROR(__xludf.DUMMYFUNCTION("""COMPUTED_VALUE"""),"sani mandir, biratnagar")</f>
        <v>sani mandir, biratnagar</v>
      </c>
      <c r="F105" s="17">
        <f>IFERROR(__xludf.DUMMYFUNCTION("""COMPUTED_VALUE"""),9.802756333E9)</f>
        <v>9802756333</v>
      </c>
      <c r="G105" s="22">
        <f>IFERROR(__xludf.DUMMYFUNCTION("""COMPUTED_VALUE"""),200.0)</f>
        <v>200</v>
      </c>
      <c r="H105" s="22">
        <f>IFERROR(__xludf.DUMMYFUNCTION("""COMPUTED_VALUE"""),1200.0)</f>
        <v>1200</v>
      </c>
      <c r="I105" s="22">
        <f>IFERROR(__xludf.DUMMYFUNCTION("""COMPUTED_VALUE"""),3.0)</f>
        <v>3</v>
      </c>
      <c r="J105" s="17" t="str">
        <f>IFERROR(__xludf.DUMMYFUNCTION("""COMPUTED_VALUE"""),"Delivered")</f>
        <v>Delivered</v>
      </c>
      <c r="K105" s="18">
        <f>IFERROR(__xludf.DUMMYFUNCTION("""COMPUTED_VALUE"""),45782.23881944444)</f>
        <v>45782.23882</v>
      </c>
      <c r="L105" s="17" t="str">
        <f>IFERROR(__xludf.DUMMYFUNCTION("IFS(
  OR(REGEXMATCH(LOWER(E105), ""sirutar|sundarijal|sitapaila|duwakot|tikathali|bhaktapur|lalitpur|kathmandu|ktm|changunarayan|bageswari|ghalate|tinkune|balkot|tikathali""), REGEXMATCH(LOWER(E105), ""inside valley"")), ""Inside Valley"",
  REGEXMATCH(L"&amp;"OWER(E105), ""dharan|pokhara|biratnagar|birgunj|narayanghat|itahari|hetauda|janakpur|madi""), ""Tier 1"",
  REGEXMATCH(LOWER(E105), ""nepalgunj|butwal|birtamod|dhangadhi|ghorahi|beni|kushma|waling|haldibari|dulegauda|baitadi|bhadrapur|syangja|parbat|myagd"&amp;"i|dang|nuwakot|jhapa""), ""Tier 2"",
  TRUE, ""Tier 3""
)"),"Tier 1")</f>
        <v>Tier 1</v>
      </c>
      <c r="M105" s="20" t="s">
        <v>474</v>
      </c>
    </row>
    <row r="106">
      <c r="B106" s="18">
        <f>IFERROR(__xludf.DUMMYFUNCTION("""COMPUTED_VALUE"""),45778.727476851855)</f>
        <v>45778.72748</v>
      </c>
      <c r="C106" s="17" t="str">
        <f>IFERROR(__xludf.DUMMYFUNCTION("""COMPUTED_VALUE"""),"black and brown shoes of size 39 each costing Rs 1200 each")</f>
        <v>black and brown shoes of size 39 each costing Rs 1200 each</v>
      </c>
      <c r="D106" s="17" t="str">
        <f>IFERROR(__xludf.DUMMYFUNCTION("""COMPUTED_VALUE"""),"Shree Krishna Sapkota")</f>
        <v>Shree Krishna Sapkota</v>
      </c>
      <c r="E106" s="17" t="str">
        <f>IFERROR(__xludf.DUMMYFUNCTION("""COMPUTED_VALUE"""),"beni, myagdi")</f>
        <v>beni, myagdi</v>
      </c>
      <c r="F106" s="17">
        <f>IFERROR(__xludf.DUMMYFUNCTION("""COMPUTED_VALUE"""),9.769477499E9)</f>
        <v>9769477499</v>
      </c>
      <c r="G106" s="22">
        <f>IFERROR(__xludf.DUMMYFUNCTION("""COMPUTED_VALUE"""),400.0)</f>
        <v>400</v>
      </c>
      <c r="H106" s="22">
        <f>IFERROR(__xludf.DUMMYFUNCTION("""COMPUTED_VALUE"""),2400.0)</f>
        <v>2400</v>
      </c>
      <c r="I106" s="22">
        <f>IFERROR(__xludf.DUMMYFUNCTION("""COMPUTED_VALUE"""),6.0)</f>
        <v>6</v>
      </c>
      <c r="J106" s="17" t="str">
        <f>IFERROR(__xludf.DUMMYFUNCTION("""COMPUTED_VALUE"""),"Delivered")</f>
        <v>Delivered</v>
      </c>
      <c r="K106" s="18">
        <f>IFERROR(__xludf.DUMMYFUNCTION("""COMPUTED_VALUE"""),45783.272986111115)</f>
        <v>45783.27299</v>
      </c>
      <c r="L106" s="17" t="str">
        <f>IFERROR(__xludf.DUMMYFUNCTION("IFS(
  OR(REGEXMATCH(LOWER(E106), ""sirutar|sundarijal|sitapaila|duwakot|tikathali|bhaktapur|lalitpur|kathmandu|ktm|changunarayan|bageswari|ghalate|tinkune|balkot|tikathali""), REGEXMATCH(LOWER(E106), ""inside valley"")), ""Inside Valley"",
  REGEXMATCH(L"&amp;"OWER(E106), ""dharan|pokhara|biratnagar|birgunj|narayanghat|itahari|hetauda|janakpur|madi""), ""Tier 1"",
  REGEXMATCH(LOWER(E106), ""nepalgunj|butwal|birtamod|dhangadhi|ghorahi|beni|kushma|waling|haldibari|dulegauda|baitadi|bhadrapur|syangja|parbat|myagd"&amp;"i|dang|nuwakot|jhapa""), ""Tier 2"",
  TRUE, ""Tier 3""
)"),"Tier 2")</f>
        <v>Tier 2</v>
      </c>
      <c r="M106" s="20" t="s">
        <v>482</v>
      </c>
    </row>
    <row r="107">
      <c r="B107" s="18">
        <f>IFERROR(__xludf.DUMMYFUNCTION("""COMPUTED_VALUE"""),45777.779131944444)</f>
        <v>45777.77913</v>
      </c>
      <c r="C107" s="17" t="str">
        <f>IFERROR(__xludf.DUMMYFUNCTION("""COMPUTED_VALUE"""),"nike light chocolate shoes of size 43 costing rs 1200")</f>
        <v>nike light chocolate shoes of size 43 costing rs 1200</v>
      </c>
      <c r="D107" s="17" t="str">
        <f>IFERROR(__xludf.DUMMYFUNCTION("""COMPUTED_VALUE"""),"Raaj Gurung")</f>
        <v>Raaj Gurung</v>
      </c>
      <c r="E107" s="17" t="str">
        <f>IFERROR(__xludf.DUMMYFUNCTION("""COMPUTED_VALUE"""),"galeswor chowk")</f>
        <v>galeswor chowk</v>
      </c>
      <c r="F107" s="17">
        <f>IFERROR(__xludf.DUMMYFUNCTION("""COMPUTED_VALUE"""),9.844942842E9)</f>
        <v>9844942842</v>
      </c>
      <c r="G107" s="22">
        <f>IFERROR(__xludf.DUMMYFUNCTION("""COMPUTED_VALUE"""),200.0)</f>
        <v>200</v>
      </c>
      <c r="H107" s="22">
        <f>IFERROR(__xludf.DUMMYFUNCTION("""COMPUTED_VALUE"""),1200.0)</f>
        <v>1200</v>
      </c>
      <c r="I107" s="22">
        <f>IFERROR(__xludf.DUMMYFUNCTION("""COMPUTED_VALUE"""),3.0)</f>
        <v>3</v>
      </c>
      <c r="J107" s="17" t="str">
        <f>IFERROR(__xludf.DUMMYFUNCTION("""COMPUTED_VALUE"""),"Delivered")</f>
        <v>Delivered</v>
      </c>
      <c r="K107" s="18">
        <f>IFERROR(__xludf.DUMMYFUNCTION("""COMPUTED_VALUE"""),45779.30043981482)</f>
        <v>45779.30044</v>
      </c>
      <c r="L107" s="17" t="str">
        <f>IFERROR(__xludf.DUMMYFUNCTION("IFS(
  OR(REGEXMATCH(LOWER(E107), ""sirutar|sundarijal|sitapaila|duwakot|tikathali|bhaktapur|lalitpur|kathmandu|ktm|changunarayan|bageswari|ghalate|tinkune|balkot|tikathali""), REGEXMATCH(LOWER(E107), ""inside valley"")), ""Inside Valley"",
  REGEXMATCH(L"&amp;"OWER(E107), ""dharan|pokhara|biratnagar|birgunj|narayanghat|itahari|hetauda|janakpur|madi""), ""Tier 1"",
  REGEXMATCH(LOWER(E107), ""nepalgunj|butwal|birtamod|dhangadhi|ghorahi|beni|kushma|waling|haldibari|dulegauda|baitadi|bhadrapur|syangja|parbat|myagd"&amp;"i|dang|nuwakot|jhapa""), ""Tier 2"",
  TRUE, ""Tier 3""
)"),"Tier 3")</f>
        <v>Tier 3</v>
      </c>
      <c r="M107" s="20" t="s">
        <v>482</v>
      </c>
    </row>
    <row r="108">
      <c r="B108" s="18">
        <f>IFERROR(__xludf.DUMMYFUNCTION("""COMPUTED_VALUE"""),45777.771006944444)</f>
        <v>45777.77101</v>
      </c>
      <c r="C108" s="17" t="str">
        <f>IFERROR(__xludf.DUMMYFUNCTION("""COMPUTED_VALUE"""),"white nike sneakers of size 43 costing rs 1200")</f>
        <v>white nike sneakers of size 43 costing rs 1200</v>
      </c>
      <c r="D108" s="17" t="str">
        <f>IFERROR(__xludf.DUMMYFUNCTION("""COMPUTED_VALUE"""),"Aashish Ghimire")</f>
        <v>Aashish Ghimire</v>
      </c>
      <c r="E108" s="17" t="str">
        <f>IFERROR(__xludf.DUMMYFUNCTION("""COMPUTED_VALUE"""),"saljhandi, sainamaina")</f>
        <v>saljhandi, sainamaina</v>
      </c>
      <c r="F108" s="17">
        <f>IFERROR(__xludf.DUMMYFUNCTION("""COMPUTED_VALUE"""),9.702238371E9)</f>
        <v>9702238371</v>
      </c>
      <c r="G108" s="22">
        <f>IFERROR(__xludf.DUMMYFUNCTION("""COMPUTED_VALUE"""),200.0)</f>
        <v>200</v>
      </c>
      <c r="H108" s="22">
        <f>IFERROR(__xludf.DUMMYFUNCTION("""COMPUTED_VALUE"""),1200.0)</f>
        <v>1200</v>
      </c>
      <c r="I108" s="22">
        <f>IFERROR(__xludf.DUMMYFUNCTION("""COMPUTED_VALUE"""),3.0)</f>
        <v>3</v>
      </c>
      <c r="J108" s="17" t="str">
        <f>IFERROR(__xludf.DUMMYFUNCTION("""COMPUTED_VALUE"""),"Delivered")</f>
        <v>Delivered</v>
      </c>
      <c r="K108" s="18">
        <f>IFERROR(__xludf.DUMMYFUNCTION("""COMPUTED_VALUE"""),45781.30608796296)</f>
        <v>45781.30609</v>
      </c>
      <c r="L108" s="17" t="str">
        <f>IFERROR(__xludf.DUMMYFUNCTION("IFS(
  OR(REGEXMATCH(LOWER(E108), ""sirutar|sundarijal|sitapaila|duwakot|tikathali|bhaktapur|lalitpur|kathmandu|ktm|changunarayan|bageswari|ghalate|tinkune|balkot|tikathali""), REGEXMATCH(LOWER(E108), ""inside valley"")), ""Inside Valley"",
  REGEXMATCH(L"&amp;"OWER(E108), ""dharan|pokhara|biratnagar|birgunj|narayanghat|itahari|hetauda|janakpur|madi""), ""Tier 1"",
  REGEXMATCH(LOWER(E108), ""nepalgunj|butwal|birtamod|dhangadhi|ghorahi|beni|kushma|waling|haldibari|dulegauda|baitadi|bhadrapur|syangja|parbat|myagd"&amp;"i|dang|nuwakot|jhapa""), ""Tier 2"",
  TRUE, ""Tier 3""
)"),"Tier 3")</f>
        <v>Tier 3</v>
      </c>
      <c r="M108" s="20" t="s">
        <v>498</v>
      </c>
    </row>
    <row r="109">
      <c r="B109" s="18">
        <f>IFERROR(__xludf.DUMMYFUNCTION("""COMPUTED_VALUE"""),45777.76733796296)</f>
        <v>45777.76734</v>
      </c>
      <c r="C109" s="17" t="str">
        <f>IFERROR(__xludf.DUMMYFUNCTION("""COMPUTED_VALUE"""),"veins shoes of size 39 costing rs 1200")</f>
        <v>veins shoes of size 39 costing rs 1200</v>
      </c>
      <c r="D109" s="17" t="str">
        <f>IFERROR(__xludf.DUMMYFUNCTION("""COMPUTED_VALUE"""),"Sworup Chhetry")</f>
        <v>Sworup Chhetry</v>
      </c>
      <c r="E109" s="17" t="str">
        <f>IFERROR(__xludf.DUMMYFUNCTION("""COMPUTED_VALUE"""),"satungal, gagan pharmacy")</f>
        <v>satungal, gagan pharmacy</v>
      </c>
      <c r="F109" s="17">
        <f>IFERROR(__xludf.DUMMYFUNCTION("""COMPUTED_VALUE"""),9.749497208E9)</f>
        <v>9749497208</v>
      </c>
      <c r="G109" s="22">
        <f>IFERROR(__xludf.DUMMYFUNCTION("""COMPUTED_VALUE"""),600.0)</f>
        <v>600</v>
      </c>
      <c r="H109" s="22">
        <f>IFERROR(__xludf.DUMMYFUNCTION("""COMPUTED_VALUE"""),1200.0)</f>
        <v>1200</v>
      </c>
      <c r="I109" s="22">
        <f>IFERROR(__xludf.DUMMYFUNCTION("""COMPUTED_VALUE"""),3.0)</f>
        <v>3</v>
      </c>
      <c r="J109" s="17" t="str">
        <f>IFERROR(__xludf.DUMMYFUNCTION("""COMPUTED_VALUE"""),"Delivered")</f>
        <v>Delivered</v>
      </c>
      <c r="K109" s="18">
        <f>IFERROR(__xludf.DUMMYFUNCTION("""COMPUTED_VALUE"""),45778.52304398148)</f>
        <v>45778.52304</v>
      </c>
      <c r="L109" s="17" t="str">
        <f>IFERROR(__xludf.DUMMYFUNCTION("IFS(
  OR(REGEXMATCH(LOWER(E109), ""sirutar|sundarijal|sitapaila|duwakot|tikathali|bhaktapur|lalitpur|kathmandu|ktm|changunarayan|bageswari|ghalate|tinkune|balkot|tikathali""), REGEXMATCH(LOWER(E109), ""inside valley"")), ""Inside Valley"",
  REGEXMATCH(L"&amp;"OWER(E109), ""dharan|pokhara|biratnagar|birgunj|narayanghat|itahari|hetauda|janakpur|madi""), ""Tier 1"",
  REGEXMATCH(LOWER(E109), ""nepalgunj|butwal|birtamod|dhangadhi|ghorahi|beni|kushma|waling|haldibari|dulegauda|baitadi|bhadrapur|syangja|parbat|myagd"&amp;"i|dang|nuwakot|jhapa""), ""Tier 2"",
  TRUE, ""Tier 3""
)"),"Tier 3")</f>
        <v>Tier 3</v>
      </c>
      <c r="M109" s="20" t="s">
        <v>479</v>
      </c>
    </row>
    <row r="110">
      <c r="B110" s="18">
        <f>IFERROR(__xludf.DUMMYFUNCTION("""COMPUTED_VALUE"""),45777.762094907404)</f>
        <v>45777.76209</v>
      </c>
      <c r="C110" s="17" t="str">
        <f>IFERROR(__xludf.DUMMYFUNCTION("""COMPUTED_VALUE"""),"lv green shoes of size 41 costing rs 1200")</f>
        <v>lv green shoes of size 41 costing rs 1200</v>
      </c>
      <c r="D110" s="17" t="str">
        <f>IFERROR(__xludf.DUMMYFUNCTION("""COMPUTED_VALUE"""),"Rupak Khanal")</f>
        <v>Rupak Khanal</v>
      </c>
      <c r="E110" s="17" t="str">
        <f>IFERROR(__xludf.DUMMYFUNCTION("""COMPUTED_VALUE"""),"birtamode, jhapa")</f>
        <v>birtamode, jhapa</v>
      </c>
      <c r="F110" s="17">
        <f>IFERROR(__xludf.DUMMYFUNCTION("""COMPUTED_VALUE"""),9.825916654E9)</f>
        <v>9825916654</v>
      </c>
      <c r="G110" s="22">
        <f>IFERROR(__xludf.DUMMYFUNCTION("""COMPUTED_VALUE"""),600.0)</f>
        <v>600</v>
      </c>
      <c r="H110" s="22">
        <f>IFERROR(__xludf.DUMMYFUNCTION("""COMPUTED_VALUE"""),1200.0)</f>
        <v>1200</v>
      </c>
      <c r="I110" s="22">
        <f>IFERROR(__xludf.DUMMYFUNCTION("""COMPUTED_VALUE"""),3.0)</f>
        <v>3</v>
      </c>
      <c r="J110" s="17" t="str">
        <f>IFERROR(__xludf.DUMMYFUNCTION("""COMPUTED_VALUE"""),"Delivered")</f>
        <v>Delivered</v>
      </c>
      <c r="K110" s="18">
        <f>IFERROR(__xludf.DUMMYFUNCTION("""COMPUTED_VALUE"""),45779.482083333336)</f>
        <v>45779.48208</v>
      </c>
      <c r="L110" s="17" t="str">
        <f>IFERROR(__xludf.DUMMYFUNCTION("IFS(
  OR(REGEXMATCH(LOWER(E110), ""sirutar|sundarijal|sitapaila|duwakot|tikathali|bhaktapur|lalitpur|kathmandu|ktm|changunarayan|bageswari|ghalate|tinkune|balkot|tikathali""), REGEXMATCH(LOWER(E110), ""inside valley"")), ""Inside Valley"",
  REGEXMATCH(L"&amp;"OWER(E110), ""dharan|pokhara|biratnagar|birgunj|narayanghat|itahari|hetauda|janakpur|madi""), ""Tier 1"",
  REGEXMATCH(LOWER(E110), ""nepalgunj|butwal|birtamod|dhangadhi|ghorahi|beni|kushma|waling|haldibari|dulegauda|baitadi|bhadrapur|syangja|parbat|myagd"&amp;"i|dang|nuwakot|jhapa""), ""Tier 2"",
  TRUE, ""Tier 3""
)"),"Tier 2")</f>
        <v>Tier 2</v>
      </c>
      <c r="M110" s="20" t="s">
        <v>474</v>
      </c>
    </row>
    <row r="111">
      <c r="B111" s="18">
        <f>IFERROR(__xludf.DUMMYFUNCTION("""COMPUTED_VALUE"""),45777.76033564815)</f>
        <v>45777.76034</v>
      </c>
      <c r="C111" s="17" t="str">
        <f>IFERROR(__xludf.DUMMYFUNCTION("""COMPUTED_VALUE"""),"blue clothes jordan of size 39 costing rs 1200")</f>
        <v>blue clothes jordan of size 39 costing rs 1200</v>
      </c>
      <c r="D111" s="17" t="str">
        <f>IFERROR(__xludf.DUMMYFUNCTION("""COMPUTED_VALUE"""),"Prabin Lamichhane")</f>
        <v>Prabin Lamichhane</v>
      </c>
      <c r="E111" s="17" t="str">
        <f>IFERROR(__xludf.DUMMYFUNCTION("""COMPUTED_VALUE"""),"putali bazar - 3, syangja")</f>
        <v>putali bazar - 3, syangja</v>
      </c>
      <c r="F111" s="17">
        <f>IFERROR(__xludf.DUMMYFUNCTION("""COMPUTED_VALUE"""),9.820102563E9)</f>
        <v>9820102563</v>
      </c>
      <c r="G111" s="22">
        <f>IFERROR(__xludf.DUMMYFUNCTION("""COMPUTED_VALUE"""),200.0)</f>
        <v>200</v>
      </c>
      <c r="H111" s="22">
        <f>IFERROR(__xludf.DUMMYFUNCTION("""COMPUTED_VALUE"""),1200.0)</f>
        <v>1200</v>
      </c>
      <c r="I111" s="22">
        <f>IFERROR(__xludf.DUMMYFUNCTION("""COMPUTED_VALUE"""),3.0)</f>
        <v>3</v>
      </c>
      <c r="J111" s="17" t="str">
        <f>IFERROR(__xludf.DUMMYFUNCTION("""COMPUTED_VALUE"""),"Delivered")</f>
        <v>Delivered</v>
      </c>
      <c r="K111" s="18">
        <f>IFERROR(__xludf.DUMMYFUNCTION("""COMPUTED_VALUE"""),45780.37699074074)</f>
        <v>45780.37699</v>
      </c>
      <c r="L111" s="17" t="str">
        <f>IFERROR(__xludf.DUMMYFUNCTION("IFS(
  OR(REGEXMATCH(LOWER(E111), ""sirutar|sundarijal|sitapaila|duwakot|tikathali|bhaktapur|lalitpur|kathmandu|ktm|changunarayan|bageswari|ghalate|tinkune|balkot|tikathali""), REGEXMATCH(LOWER(E111), ""inside valley"")), ""Inside Valley"",
  REGEXMATCH(L"&amp;"OWER(E111), ""dharan|pokhara|biratnagar|birgunj|narayanghat|itahari|hetauda|janakpur|madi""), ""Tier 1"",
  REGEXMATCH(LOWER(E111), ""nepalgunj|butwal|birtamod|dhangadhi|ghorahi|beni|kushma|waling|haldibari|dulegauda|baitadi|bhadrapur|syangja|parbat|myagd"&amp;"i|dang|nuwakot|jhapa""), ""Tier 2"",
  TRUE, ""Tier 3""
)"),"Tier 2")</f>
        <v>Tier 2</v>
      </c>
      <c r="M111" s="20" t="s">
        <v>482</v>
      </c>
    </row>
    <row r="112">
      <c r="B112" s="18">
        <f>IFERROR(__xludf.DUMMYFUNCTION("""COMPUTED_VALUE"""),45777.20144675926)</f>
        <v>45777.20145</v>
      </c>
      <c r="C112" s="17" t="str">
        <f>IFERROR(__xludf.DUMMYFUNCTION("""COMPUTED_VALUE"""),"Lv shoes of green costing 1200")</f>
        <v>Lv shoes of green costing 1200</v>
      </c>
      <c r="D112" s="17" t="str">
        <f>IFERROR(__xludf.DUMMYFUNCTION("""COMPUTED_VALUE""")," Dipesh Bhattarai ")</f>
        <v> Dipesh Bhattarai </v>
      </c>
      <c r="E112" s="17" t="str">
        <f>IFERROR(__xludf.DUMMYFUNCTION("""COMPUTED_VALUE""")," Ilam municipality-1 Nepaltar,Ilam")</f>
        <v> Ilam municipality-1 Nepaltar,Ilam</v>
      </c>
      <c r="F112" s="17">
        <f>IFERROR(__xludf.DUMMYFUNCTION("""COMPUTED_VALUE"""),9.825917835E9)</f>
        <v>9825917835</v>
      </c>
      <c r="G112" s="22">
        <f>IFERROR(__xludf.DUMMYFUNCTION("""COMPUTED_VALUE"""),600.0)</f>
        <v>600</v>
      </c>
      <c r="H112" s="22">
        <f>IFERROR(__xludf.DUMMYFUNCTION("""COMPUTED_VALUE"""),1200.0)</f>
        <v>1200</v>
      </c>
      <c r="I112" s="22">
        <f>IFERROR(__xludf.DUMMYFUNCTION("""COMPUTED_VALUE"""),3.0)</f>
        <v>3</v>
      </c>
      <c r="J112" s="17" t="str">
        <f>IFERROR(__xludf.DUMMYFUNCTION("""COMPUTED_VALUE"""),"Delivered")</f>
        <v>Delivered</v>
      </c>
      <c r="K112" s="18">
        <f>IFERROR(__xludf.DUMMYFUNCTION("""COMPUTED_VALUE"""),45780.44793981481)</f>
        <v>45780.44794</v>
      </c>
      <c r="L112" s="17" t="str">
        <f>IFERROR(__xludf.DUMMYFUNCTION("IFS(
  OR(REGEXMATCH(LOWER(E112), ""sirutar|sundarijal|sitapaila|duwakot|tikathali|bhaktapur|lalitpur|kathmandu|ktm|changunarayan|bageswari|ghalate|tinkune|balkot|tikathali""), REGEXMATCH(LOWER(E112), ""inside valley"")), ""Inside Valley"",
  REGEXMATCH(L"&amp;"OWER(E112), ""dharan|pokhara|biratnagar|birgunj|narayanghat|itahari|hetauda|janakpur|madi""), ""Tier 1"",
  REGEXMATCH(LOWER(E112), ""nepalgunj|butwal|birtamod|dhangadhi|ghorahi|beni|kushma|waling|haldibari|dulegauda|baitadi|bhadrapur|syangja|parbat|myagd"&amp;"i|dang|nuwakot|jhapa""), ""Tier 2"",
  TRUE, ""Tier 3""
)"),"Tier 3")</f>
        <v>Tier 3</v>
      </c>
      <c r="M112" s="20" t="s">
        <v>474</v>
      </c>
    </row>
    <row r="113">
      <c r="B113" s="18">
        <f>IFERROR(__xludf.DUMMYFUNCTION("""COMPUTED_VALUE"""),45777.19584490741)</f>
        <v>45777.19584</v>
      </c>
      <c r="C113" s="17" t="str">
        <f>IFERROR(__xludf.DUMMYFUNCTION("""COMPUTED_VALUE"""),"Veins shoes of size 42 costing rs 1200")</f>
        <v>Veins shoes of size 42 costing rs 1200</v>
      </c>
      <c r="D113" s="17" t="str">
        <f>IFERROR(__xludf.DUMMYFUNCTION("""COMPUTED_VALUE"""),"Javed osta")</f>
        <v>Javed osta</v>
      </c>
      <c r="E113" s="17" t="str">
        <f>IFERROR(__xludf.DUMMYFUNCTION("""COMPUTED_VALUE"""),"Narsing chowk, chengu Hotel, thamel")</f>
        <v>Narsing chowk, chengu Hotel, thamel</v>
      </c>
      <c r="F113" s="17">
        <f>IFERROR(__xludf.DUMMYFUNCTION("""COMPUTED_VALUE"""),9.811195106E9)</f>
        <v>9811195106</v>
      </c>
      <c r="G113" s="22">
        <f>IFERROR(__xludf.DUMMYFUNCTION("""COMPUTED_VALUE"""),600.0)</f>
        <v>600</v>
      </c>
      <c r="H113" s="22">
        <f>IFERROR(__xludf.DUMMYFUNCTION("""COMPUTED_VALUE"""),1200.0)</f>
        <v>1200</v>
      </c>
      <c r="I113" s="22">
        <f>IFERROR(__xludf.DUMMYFUNCTION("""COMPUTED_VALUE"""),3.0)</f>
        <v>3</v>
      </c>
      <c r="J113" s="17" t="str">
        <f>IFERROR(__xludf.DUMMYFUNCTION("""COMPUTED_VALUE"""),"Delivered")</f>
        <v>Delivered</v>
      </c>
      <c r="K113" s="18">
        <f>IFERROR(__xludf.DUMMYFUNCTION("""COMPUTED_VALUE"""),45777.42673611111)</f>
        <v>45777.42674</v>
      </c>
      <c r="L113" s="17" t="str">
        <f>IFERROR(__xludf.DUMMYFUNCTION("IFS(
  OR(REGEXMATCH(LOWER(E113), ""sirutar|sundarijal|sitapaila|duwakot|tikathali|bhaktapur|lalitpur|kathmandu|ktm|changunarayan|bageswari|ghalate|tinkune|balkot|tikathali""), REGEXMATCH(LOWER(E113), ""inside valley"")), ""Inside Valley"",
  REGEXMATCH(L"&amp;"OWER(E113), ""dharan|pokhara|biratnagar|birgunj|narayanghat|itahari|hetauda|janakpur|madi""), ""Tier 1"",
  REGEXMATCH(LOWER(E113), ""nepalgunj|butwal|birtamod|dhangadhi|ghorahi|beni|kushma|waling|haldibari|dulegauda|baitadi|bhadrapur|syangja|parbat|myagd"&amp;"i|dang|nuwakot|jhapa""), ""Tier 2"",
  TRUE, ""Tier 3""
)"),"Tier 3")</f>
        <v>Tier 3</v>
      </c>
      <c r="M113" s="20" t="s">
        <v>479</v>
      </c>
    </row>
    <row r="114">
      <c r="B114" s="18">
        <f>IFERROR(__xludf.DUMMYFUNCTION("""COMPUTED_VALUE"""),45776.792719907404)</f>
        <v>45776.79272</v>
      </c>
      <c r="C114" s="17" t="str">
        <f>IFERROR(__xludf.DUMMYFUNCTION("""COMPUTED_VALUE"""),"two shoes jordan vietnam and lv green of size 43 costing 1200 each ")</f>
        <v>two shoes jordan vietnam and lv green of size 43 costing 1200 each </v>
      </c>
      <c r="D114" s="17" t="str">
        <f>IFERROR(__xludf.DUMMYFUNCTION("""COMPUTED_VALUE"""),"Sachin Sunar")</f>
        <v>Sachin Sunar</v>
      </c>
      <c r="E114" s="17" t="str">
        <f>IFERROR(__xludf.DUMMYFUNCTION("""COMPUTED_VALUE"""),"nawalpur, rajahar")</f>
        <v>nawalpur, rajahar</v>
      </c>
      <c r="F114" s="17">
        <f>IFERROR(__xludf.DUMMYFUNCTION("""COMPUTED_VALUE"""),9.767006129E9)</f>
        <v>9767006129</v>
      </c>
      <c r="G114" s="22">
        <f>IFERROR(__xludf.DUMMYFUNCTION("""COMPUTED_VALUE"""),700.0)</f>
        <v>700</v>
      </c>
      <c r="H114" s="22">
        <f>IFERROR(__xludf.DUMMYFUNCTION("""COMPUTED_VALUE"""),2400.0)</f>
        <v>2400</v>
      </c>
      <c r="I114" s="22">
        <f>IFERROR(__xludf.DUMMYFUNCTION("""COMPUTED_VALUE"""),6.0)</f>
        <v>6</v>
      </c>
      <c r="J114" s="17" t="str">
        <f>IFERROR(__xludf.DUMMYFUNCTION("""COMPUTED_VALUE"""),"Delivered")</f>
        <v>Delivered</v>
      </c>
      <c r="K114" s="18">
        <f>IFERROR(__xludf.DUMMYFUNCTION("""COMPUTED_VALUE"""),45779.3908912037)</f>
        <v>45779.39089</v>
      </c>
      <c r="L114" s="17" t="str">
        <f>IFERROR(__xludf.DUMMYFUNCTION("IFS(
  OR(REGEXMATCH(LOWER(E114), ""sirutar|sundarijal|sitapaila|duwakot|tikathali|bhaktapur|lalitpur|kathmandu|ktm|changunarayan|bageswari|ghalate|tinkune|balkot|tikathali""), REGEXMATCH(LOWER(E114), ""inside valley"")), ""Inside Valley"",
  REGEXMATCH(L"&amp;"OWER(E114), ""dharan|pokhara|biratnagar|birgunj|narayanghat|itahari|hetauda|janakpur|madi""), ""Tier 1"",
  REGEXMATCH(LOWER(E114), ""nepalgunj|butwal|birtamod|dhangadhi|ghorahi|beni|kushma|waling|haldibari|dulegauda|baitadi|bhadrapur|syangja|parbat|myagd"&amp;"i|dang|nuwakot|jhapa""), ""Tier 2"",
  TRUE, ""Tier 3""
)"),"Tier 3")</f>
        <v>Tier 3</v>
      </c>
      <c r="M114" s="20" t="s">
        <v>482</v>
      </c>
    </row>
    <row r="115">
      <c r="B115" s="18">
        <f>IFERROR(__xludf.DUMMYFUNCTION("""COMPUTED_VALUE"""),45776.7228125)</f>
        <v>45776.72281</v>
      </c>
      <c r="C115" s="17" t="str">
        <f>IFERROR(__xludf.DUMMYFUNCTION("""COMPUTED_VALUE"""),"dior shoes of size 42 costing rs 1200")</f>
        <v>dior shoes of size 42 costing rs 1200</v>
      </c>
      <c r="D115" s="17" t="str">
        <f>IFERROR(__xludf.DUMMYFUNCTION("""COMPUTED_VALUE"""),"Tahir khan")</f>
        <v>Tahir khan</v>
      </c>
      <c r="E115" s="17" t="str">
        <f>IFERROR(__xludf.DUMMYFUNCTION("""COMPUTED_VALUE"""),"Lumbini, sanskrit nagarpalika")</f>
        <v>Lumbini, sanskrit nagarpalika</v>
      </c>
      <c r="F115" s="17">
        <f>IFERROR(__xludf.DUMMYFUNCTION("""COMPUTED_VALUE"""),9.807479966E9)</f>
        <v>9807479966</v>
      </c>
      <c r="G115" s="22">
        <f>IFERROR(__xludf.DUMMYFUNCTION("""COMPUTED_VALUE"""),200.0)</f>
        <v>200</v>
      </c>
      <c r="H115" s="22">
        <f>IFERROR(__xludf.DUMMYFUNCTION("""COMPUTED_VALUE"""),1200.0)</f>
        <v>1200</v>
      </c>
      <c r="I115" s="22">
        <f>IFERROR(__xludf.DUMMYFUNCTION("""COMPUTED_VALUE"""),3.0)</f>
        <v>3</v>
      </c>
      <c r="J115" s="17" t="str">
        <f>IFERROR(__xludf.DUMMYFUNCTION("""COMPUTED_VALUE"""),"Delivered")</f>
        <v>Delivered</v>
      </c>
      <c r="K115" s="18">
        <f>IFERROR(__xludf.DUMMYFUNCTION("""COMPUTED_VALUE"""),45781.35251157408)</f>
        <v>45781.35251</v>
      </c>
      <c r="L115" s="17" t="str">
        <f>IFERROR(__xludf.DUMMYFUNCTION("IFS(
  OR(REGEXMATCH(LOWER(E115), ""sirutar|sundarijal|sitapaila|duwakot|tikathali|bhaktapur|lalitpur|kathmandu|ktm|changunarayan|bageswari|ghalate|tinkune|balkot|tikathali""), REGEXMATCH(LOWER(E115), ""inside valley"")), ""Inside Valley"",
  REGEXMATCH(L"&amp;"OWER(E115), ""dharan|pokhara|biratnagar|birgunj|narayanghat|itahari|hetauda|janakpur|madi""), ""Tier 1"",
  REGEXMATCH(LOWER(E115), ""nepalgunj|butwal|birtamod|dhangadhi|ghorahi|beni|kushma|waling|haldibari|dulegauda|baitadi|bhadrapur|syangja|parbat|myagd"&amp;"i|dang|nuwakot|jhapa""), ""Tier 2"",
  TRUE, ""Tier 3""
)"),"Tier 3")</f>
        <v>Tier 3</v>
      </c>
      <c r="M115" s="20" t="s">
        <v>498</v>
      </c>
    </row>
    <row r="116">
      <c r="B116" s="18">
        <f>IFERROR(__xludf.DUMMYFUNCTION("""COMPUTED_VALUE"""),45776.71875)</f>
        <v>45776.71875</v>
      </c>
      <c r="C116" s="17" t="str">
        <f>IFERROR(__xludf.DUMMYFUNCTION("""COMPUTED_VALUE"""),"Dr. Martin shoes of size 43 costing rs 1500")</f>
        <v>Dr. Martin shoes of size 43 costing rs 1500</v>
      </c>
      <c r="D116" s="17" t="str">
        <f>IFERROR(__xludf.DUMMYFUNCTION("""COMPUTED_VALUE"""),"Saroj basnet")</f>
        <v>Saroj basnet</v>
      </c>
      <c r="E116" s="17" t="str">
        <f>IFERROR(__xludf.DUMMYFUNCTION("""COMPUTED_VALUE"""),"Vdc office, duwakot, changunarayan, bhaktapur")</f>
        <v>Vdc office, duwakot, changunarayan, bhaktapur</v>
      </c>
      <c r="F116" s="17">
        <f>IFERROR(__xludf.DUMMYFUNCTION("""COMPUTED_VALUE"""),9.804842819E9)</f>
        <v>9804842819</v>
      </c>
      <c r="G116" s="22">
        <f>IFERROR(__xludf.DUMMYFUNCTION("""COMPUTED_VALUE"""),500.0)</f>
        <v>500</v>
      </c>
      <c r="H116" s="22">
        <f>IFERROR(__xludf.DUMMYFUNCTION("""COMPUTED_VALUE"""),1500.0)</f>
        <v>1500</v>
      </c>
      <c r="I116" s="22">
        <f>IFERROR(__xludf.DUMMYFUNCTION("""COMPUTED_VALUE"""),3.75)</f>
        <v>3.75</v>
      </c>
      <c r="J116" s="17" t="str">
        <f>IFERROR(__xludf.DUMMYFUNCTION("""COMPUTED_VALUE"""),"Delivered")</f>
        <v>Delivered</v>
      </c>
      <c r="K116" s="18">
        <f>IFERROR(__xludf.DUMMYFUNCTION("""COMPUTED_VALUE"""),45777.47929398148)</f>
        <v>45777.47929</v>
      </c>
      <c r="L116" s="17" t="str">
        <f>IFERROR(__xludf.DUMMYFUNCTION("IFS(
  OR(REGEXMATCH(LOWER(E116), ""sirutar|sundarijal|sitapaila|duwakot|tikathali|bhaktapur|lalitpur|kathmandu|ktm|changunarayan|bageswari|ghalate|tinkune|balkot|tikathali""), REGEXMATCH(LOWER(E116), ""inside valley"")), ""Inside Valley"",
  REGEXMATCH(L"&amp;"OWER(E116), ""dharan|pokhara|biratnagar|birgunj|narayanghat|itahari|hetauda|janakpur|madi""), ""Tier 1"",
  REGEXMATCH(LOWER(E116), ""nepalgunj|butwal|birtamod|dhangadhi|ghorahi|beni|kushma|waling|haldibari|dulegauda|baitadi|bhadrapur|syangja|parbat|myagd"&amp;"i|dang|nuwakot|jhapa""), ""Tier 2"",
  TRUE, ""Tier 3""
)"),"Inside Valley")</f>
        <v>Inside Valley</v>
      </c>
      <c r="M116" s="20" t="s">
        <v>479</v>
      </c>
    </row>
    <row r="117">
      <c r="B117" s="18">
        <f>IFERROR(__xludf.DUMMYFUNCTION("""COMPUTED_VALUE"""),45776.71548611111)</f>
        <v>45776.71549</v>
      </c>
      <c r="C117" s="17" t="str">
        <f>IFERROR(__xludf.DUMMYFUNCTION("""COMPUTED_VALUE"""),"Af 1 shoes costing rs 1200 of size 42")</f>
        <v>Af 1 shoes costing rs 1200 of size 42</v>
      </c>
      <c r="D117" s="17" t="str">
        <f>IFERROR(__xludf.DUMMYFUNCTION("""COMPUTED_VALUE"""),"Kushal chhetry")</f>
        <v>Kushal chhetry</v>
      </c>
      <c r="E117" s="17" t="str">
        <f>IFERROR(__xludf.DUMMYFUNCTION("""COMPUTED_VALUE"""),"Kushma, parbat")</f>
        <v>Kushma, parbat</v>
      </c>
      <c r="F117" s="17">
        <f>IFERROR(__xludf.DUMMYFUNCTION("""COMPUTED_VALUE"""),9.862720339E9)</f>
        <v>9862720339</v>
      </c>
      <c r="G117" s="22">
        <f>IFERROR(__xludf.DUMMYFUNCTION("""COMPUTED_VALUE"""),200.0)</f>
        <v>200</v>
      </c>
      <c r="H117" s="22">
        <f>IFERROR(__xludf.DUMMYFUNCTION("""COMPUTED_VALUE"""),1200.0)</f>
        <v>1200</v>
      </c>
      <c r="I117" s="22">
        <f>IFERROR(__xludf.DUMMYFUNCTION("""COMPUTED_VALUE"""),3.0)</f>
        <v>3</v>
      </c>
      <c r="J117" s="17" t="str">
        <f>IFERROR(__xludf.DUMMYFUNCTION("""COMPUTED_VALUE"""),"Delivered")</f>
        <v>Delivered</v>
      </c>
      <c r="K117" s="18">
        <f>IFERROR(__xludf.DUMMYFUNCTION("""COMPUTED_VALUE"""),45781.37578703703)</f>
        <v>45781.37579</v>
      </c>
      <c r="L117" s="17" t="str">
        <f>IFERROR(__xludf.DUMMYFUNCTION("IFS(
  OR(REGEXMATCH(LOWER(E117), ""sirutar|sundarijal|sitapaila|duwakot|tikathali|bhaktapur|lalitpur|kathmandu|ktm|changunarayan|bageswari|ghalate|tinkune|balkot|tikathali""), REGEXMATCH(LOWER(E117), ""inside valley"")), ""Inside Valley"",
  REGEXMATCH(L"&amp;"OWER(E117), ""dharan|pokhara|biratnagar|birgunj|narayanghat|itahari|hetauda|janakpur|madi""), ""Tier 1"",
  REGEXMATCH(LOWER(E117), ""nepalgunj|butwal|birtamod|dhangadhi|ghorahi|beni|kushma|waling|haldibari|dulegauda|baitadi|bhadrapur|syangja|parbat|myagd"&amp;"i|dang|nuwakot|jhapa""), ""Tier 2"",
  TRUE, ""Tier 3""
)"),"Tier 2")</f>
        <v>Tier 2</v>
      </c>
      <c r="M117" s="20" t="s">
        <v>482</v>
      </c>
    </row>
    <row r="118">
      <c r="B118" s="18">
        <f>IFERROR(__xludf.DUMMYFUNCTION("""COMPUTED_VALUE"""),45776.71030092593)</f>
        <v>45776.7103</v>
      </c>
      <c r="C118" s="17" t="str">
        <f>IFERROR(__xludf.DUMMYFUNCTION("""COMPUTED_VALUE"""),"Green and lv shoes of size 42 costing rs 1200 and rs 1200")</f>
        <v>Green and lv shoes of size 42 costing rs 1200 and rs 1200</v>
      </c>
      <c r="D118" s="17" t="str">
        <f>IFERROR(__xludf.DUMMYFUNCTION("""COMPUTED_VALUE"""),"Samrat rai")</f>
        <v>Samrat rai</v>
      </c>
      <c r="E118" s="17" t="str">
        <f>IFERROR(__xludf.DUMMYFUNCTION("""COMPUTED_VALUE"""),"Lalitpur, imadol, sanogau, near bhatbhateni")</f>
        <v>Lalitpur, imadol, sanogau, near bhatbhateni</v>
      </c>
      <c r="F118" s="17">
        <f>IFERROR(__xludf.DUMMYFUNCTION("""COMPUTED_VALUE"""),9.800943313E9)</f>
        <v>9800943313</v>
      </c>
      <c r="G118" s="22">
        <f>IFERROR(__xludf.DUMMYFUNCTION("""COMPUTED_VALUE"""),800.0)</f>
        <v>800</v>
      </c>
      <c r="H118" s="22">
        <f>IFERROR(__xludf.DUMMYFUNCTION("""COMPUTED_VALUE"""),2400.0)</f>
        <v>2400</v>
      </c>
      <c r="I118" s="22">
        <f>IFERROR(__xludf.DUMMYFUNCTION("""COMPUTED_VALUE"""),6.0)</f>
        <v>6</v>
      </c>
      <c r="J118" s="17" t="str">
        <f>IFERROR(__xludf.DUMMYFUNCTION("""COMPUTED_VALUE"""),"Delivered")</f>
        <v>Delivered</v>
      </c>
      <c r="K118" s="18">
        <f>IFERROR(__xludf.DUMMYFUNCTION("""COMPUTED_VALUE"""),45778.34921296296)</f>
        <v>45778.34921</v>
      </c>
      <c r="L118" s="17" t="str">
        <f>IFERROR(__xludf.DUMMYFUNCTION("IFS(
  OR(REGEXMATCH(LOWER(E118), ""sirutar|sundarijal|sitapaila|duwakot|tikathali|bhaktapur|lalitpur|kathmandu|ktm|changunarayan|bageswari|ghalate|tinkune|balkot|tikathali""), REGEXMATCH(LOWER(E118), ""inside valley"")), ""Inside Valley"",
  REGEXMATCH(L"&amp;"OWER(E118), ""dharan|pokhara|biratnagar|birgunj|narayanghat|itahari|hetauda|janakpur|madi""), ""Tier 1"",
  REGEXMATCH(LOWER(E118), ""nepalgunj|butwal|birtamod|dhangadhi|ghorahi|beni|kushma|waling|haldibari|dulegauda|baitadi|bhadrapur|syangja|parbat|myagd"&amp;"i|dang|nuwakot|jhapa""), ""Tier 2"",
  TRUE, ""Tier 3""
)"),"Inside Valley")</f>
        <v>Inside Valley</v>
      </c>
      <c r="M118" s="20" t="s">
        <v>479</v>
      </c>
    </row>
    <row r="119">
      <c r="B119" s="18">
        <f>IFERROR(__xludf.DUMMYFUNCTION("""COMPUTED_VALUE"""),45767.60923611111)</f>
        <v>45767.60924</v>
      </c>
      <c r="C119" s="17" t="str">
        <f>IFERROR(__xludf.DUMMYFUNCTION("""COMPUTED_VALUE"""),"Converse all star shoes which cost 1600")</f>
        <v>Converse all star shoes which cost 1600</v>
      </c>
      <c r="D119" s="17" t="str">
        <f>IFERROR(__xludf.DUMMYFUNCTION("""COMPUTED_VALUE"""),"Sanjip Gurung")</f>
        <v>Sanjip Gurung</v>
      </c>
      <c r="E119" s="17" t="str">
        <f>IFERROR(__xludf.DUMMYFUNCTION("""COMPUTED_VALUE"""),"Fikkal, ilam")</f>
        <v>Fikkal, ilam</v>
      </c>
      <c r="F119" s="17">
        <f>IFERROR(__xludf.DUMMYFUNCTION("""COMPUTED_VALUE"""),9.860286662E9)</f>
        <v>9860286662</v>
      </c>
      <c r="G119" s="22">
        <f>IFERROR(__xludf.DUMMYFUNCTION("""COMPUTED_VALUE"""),300.0)</f>
        <v>300</v>
      </c>
      <c r="H119" s="22">
        <f>IFERROR(__xludf.DUMMYFUNCTION("""COMPUTED_VALUE"""),1600.0)</f>
        <v>1600</v>
      </c>
      <c r="I119" s="22">
        <f>IFERROR(__xludf.DUMMYFUNCTION("""COMPUTED_VALUE"""),4.0)</f>
        <v>4</v>
      </c>
      <c r="J119" s="17" t="str">
        <f>IFERROR(__xludf.DUMMYFUNCTION("""COMPUTED_VALUE"""),"Delivered")</f>
        <v>Delivered</v>
      </c>
      <c r="K119" s="18">
        <f>IFERROR(__xludf.DUMMYFUNCTION("""COMPUTED_VALUE"""),45771.202835648146)</f>
        <v>45771.20284</v>
      </c>
      <c r="L119" s="17" t="str">
        <f>IFERROR(__xludf.DUMMYFUNCTION("IFS(
  OR(REGEXMATCH(LOWER(E119), ""sirutar|sundarijal|sitapaila|duwakot|tikathali|bhaktapur|lalitpur|kathmandu|ktm|changunarayan|bageswari|ghalate|tinkune|balkot|tikathali""), REGEXMATCH(LOWER(E119), ""inside valley"")), ""Inside Valley"",
  REGEXMATCH(L"&amp;"OWER(E119), ""dharan|pokhara|biratnagar|birgunj|narayanghat|itahari|hetauda|janakpur|madi""), ""Tier 1"",
  REGEXMATCH(LOWER(E119), ""nepalgunj|butwal|birtamod|dhangadhi|ghorahi|beni|kushma|waling|haldibari|dulegauda|baitadi|bhadrapur|syangja|parbat|myagd"&amp;"i|dang|nuwakot|jhapa""), ""Tier 2"",
  TRUE, ""Tier 3""
)"),"Tier 3")</f>
        <v>Tier 3</v>
      </c>
      <c r="M119" s="20" t="s">
        <v>474</v>
      </c>
    </row>
    <row r="120">
      <c r="B120" s="18">
        <f>IFERROR(__xludf.DUMMYFUNCTION("""COMPUTED_VALUE"""),45767.1827662037)</f>
        <v>45767.18277</v>
      </c>
      <c r="C120" s="17" t="str">
        <f>IFERROR(__xludf.DUMMYFUNCTION("""COMPUTED_VALUE"""),"Two shoes one for ladies and other for gents costing 1500 and 1500")</f>
        <v>Two shoes one for ladies and other for gents costing 1500 and 1500</v>
      </c>
      <c r="D120" s="17" t="str">
        <f>IFERROR(__xludf.DUMMYFUNCTION("""COMPUTED_VALUE"""),"Rabindra khadka")</f>
        <v>Rabindra khadka</v>
      </c>
      <c r="E120" s="17" t="str">
        <f>IFERROR(__xludf.DUMMYFUNCTION("""COMPUTED_VALUE"""),"Duwakot, mahankal Chowk, bhaktapur")</f>
        <v>Duwakot, mahankal Chowk, bhaktapur</v>
      </c>
      <c r="F120" s="17">
        <f>IFERROR(__xludf.DUMMYFUNCTION("""COMPUTED_VALUE"""),9.840355958E9)</f>
        <v>9840355958</v>
      </c>
      <c r="G120" s="22">
        <f>IFERROR(__xludf.DUMMYFUNCTION("""COMPUTED_VALUE"""),800.0)</f>
        <v>800</v>
      </c>
      <c r="H120" s="22">
        <f>IFERROR(__xludf.DUMMYFUNCTION("""COMPUTED_VALUE"""),3000.0)</f>
        <v>3000</v>
      </c>
      <c r="I120" s="22">
        <f>IFERROR(__xludf.DUMMYFUNCTION("""COMPUTED_VALUE"""),7.5)</f>
        <v>7.5</v>
      </c>
      <c r="J120" s="17" t="str">
        <f>IFERROR(__xludf.DUMMYFUNCTION("""COMPUTED_VALUE"""),"Delivered")</f>
        <v>Delivered</v>
      </c>
      <c r="K120" s="18">
        <f>IFERROR(__xludf.DUMMYFUNCTION("""COMPUTED_VALUE"""),45767.48459490741)</f>
        <v>45767.48459</v>
      </c>
      <c r="L120" s="17" t="str">
        <f>IFERROR(__xludf.DUMMYFUNCTION("IFS(
  OR(REGEXMATCH(LOWER(E120), ""sirutar|sundarijal|sitapaila|duwakot|tikathali|bhaktapur|lalitpur|kathmandu|ktm|changunarayan|bageswari|ghalate|tinkune|balkot|tikathali""), REGEXMATCH(LOWER(E120), ""inside valley"")), ""Inside Valley"",
  REGEXMATCH(L"&amp;"OWER(E120), ""dharan|pokhara|biratnagar|birgunj|narayanghat|itahari|hetauda|janakpur|madi""), ""Tier 1"",
  REGEXMATCH(LOWER(E120), ""nepalgunj|butwal|birtamod|dhangadhi|ghorahi|beni|kushma|waling|haldibari|dulegauda|baitadi|bhadrapur|syangja|parbat|myagd"&amp;"i|dang|nuwakot|jhapa""), ""Tier 2"",
  TRUE, ""Tier 3""
)"),"Inside Valley")</f>
        <v>Inside Valley</v>
      </c>
      <c r="M120" s="20" t="s">
        <v>479</v>
      </c>
    </row>
    <row r="121">
      <c r="B121" s="18">
        <f>IFERROR(__xludf.DUMMYFUNCTION("""COMPUTED_VALUE"""),45766.289513888885)</f>
        <v>45766.28951</v>
      </c>
      <c r="C121" s="17" t="str">
        <f>IFERROR(__xludf.DUMMYFUNCTION("""COMPUTED_VALUE"""),"Tbl shoes costing 2200 already gave 100 so final price 2100")</f>
        <v>Tbl shoes costing 2200 already gave 100 so final price 2100</v>
      </c>
      <c r="D121" s="17" t="str">
        <f>IFERROR(__xludf.DUMMYFUNCTION("""COMPUTED_VALUE"""),"Binod Pandey")</f>
        <v>Binod Pandey</v>
      </c>
      <c r="E121" s="17" t="str">
        <f>IFERROR(__xludf.DUMMYFUNCTION("""COMPUTED_VALUE"""),"Army bahrek, ghorahi")</f>
        <v>Army bahrek, ghorahi</v>
      </c>
      <c r="F121" s="17">
        <f>IFERROR(__xludf.DUMMYFUNCTION("""COMPUTED_VALUE"""),9.742373745E9)</f>
        <v>9742373745</v>
      </c>
      <c r="G121" s="22">
        <f>IFERROR(__xludf.DUMMYFUNCTION("""COMPUTED_VALUE"""),400.0)</f>
        <v>400</v>
      </c>
      <c r="H121" s="22">
        <f>IFERROR(__xludf.DUMMYFUNCTION("""COMPUTED_VALUE"""),2100.0)</f>
        <v>2100</v>
      </c>
      <c r="I121" s="22">
        <f>IFERROR(__xludf.DUMMYFUNCTION("""COMPUTED_VALUE"""),5.25)</f>
        <v>5.25</v>
      </c>
      <c r="J121" s="17" t="str">
        <f>IFERROR(__xludf.DUMMYFUNCTION("""COMPUTED_VALUE"""),"Delivered")</f>
        <v>Delivered</v>
      </c>
      <c r="K121" s="18">
        <f>IFERROR(__xludf.DUMMYFUNCTION("""COMPUTED_VALUE"""),45769.411273148144)</f>
        <v>45769.41127</v>
      </c>
      <c r="L121" s="17" t="str">
        <f>IFERROR(__xludf.DUMMYFUNCTION("IFS(
  OR(REGEXMATCH(LOWER(E121), ""sirutar|sundarijal|sitapaila|duwakot|tikathali|bhaktapur|lalitpur|kathmandu|ktm|changunarayan|bageswari|ghalate|tinkune|balkot|tikathali""), REGEXMATCH(LOWER(E121), ""inside valley"")), ""Inside Valley"",
  REGEXMATCH(L"&amp;"OWER(E121), ""dharan|pokhara|biratnagar|birgunj|narayanghat|itahari|hetauda|janakpur|madi""), ""Tier 1"",
  REGEXMATCH(LOWER(E121), ""nepalgunj|butwal|birtamod|dhangadhi|ghorahi|beni|kushma|waling|haldibari|dulegauda|baitadi|bhadrapur|syangja|parbat|myagd"&amp;"i|dang|nuwakot|jhapa""), ""Tier 2"",
  TRUE, ""Tier 3""
)"),"Tier 2")</f>
        <v>Tier 2</v>
      </c>
      <c r="M121" s="20" t="s">
        <v>498</v>
      </c>
    </row>
    <row r="122">
      <c r="B122" s="18">
        <f>IFERROR(__xludf.DUMMYFUNCTION("""COMPUTED_VALUE"""),45766.135671296295)</f>
        <v>45766.13567</v>
      </c>
      <c r="C122" s="17" t="str">
        <f>IFERROR(__xludf.DUMMYFUNCTION("""COMPUTED_VALUE"""),"Nike printed shoes costing rs 1500")</f>
        <v>Nike printed shoes costing rs 1500</v>
      </c>
      <c r="D122" s="17" t="str">
        <f>IFERROR(__xludf.DUMMYFUNCTION("""COMPUTED_VALUE"""),"Bhuwan Majhi")</f>
        <v>Bhuwan Majhi</v>
      </c>
      <c r="E122" s="17" t="str">
        <f>IFERROR(__xludf.DUMMYFUNCTION("""COMPUTED_VALUE"""),"Surunga dhekhi 20 km tala jhapa bazzar")</f>
        <v>Surunga dhekhi 20 km tala jhapa bazzar</v>
      </c>
      <c r="F122" s="17">
        <f>IFERROR(__xludf.DUMMYFUNCTION("""COMPUTED_VALUE"""),9.807976364E9)</f>
        <v>9807976364</v>
      </c>
      <c r="G122" s="22">
        <f>IFERROR(__xludf.DUMMYFUNCTION("""COMPUTED_VALUE"""),500.0)</f>
        <v>500</v>
      </c>
      <c r="H122" s="22">
        <f>IFERROR(__xludf.DUMMYFUNCTION("""COMPUTED_VALUE"""),1500.0)</f>
        <v>1500</v>
      </c>
      <c r="I122" s="22">
        <f>IFERROR(__xludf.DUMMYFUNCTION("""COMPUTED_VALUE"""),3.75)</f>
        <v>3.75</v>
      </c>
      <c r="J122" s="17" t="str">
        <f>IFERROR(__xludf.DUMMYFUNCTION("""COMPUTED_VALUE"""),"Delivered")</f>
        <v>Delivered</v>
      </c>
      <c r="K122" s="18">
        <f>IFERROR(__xludf.DUMMYFUNCTION("""COMPUTED_VALUE"""),45770.353009259255)</f>
        <v>45770.35301</v>
      </c>
      <c r="L122" s="17" t="str">
        <f>IFERROR(__xludf.DUMMYFUNCTION("IFS(
  OR(REGEXMATCH(LOWER(E122), ""sirutar|sundarijal|sitapaila|duwakot|tikathali|bhaktapur|lalitpur|kathmandu|ktm|changunarayan|bageswari|ghalate|tinkune|balkot|tikathali""), REGEXMATCH(LOWER(E122), ""inside valley"")), ""Inside Valley"",
  REGEXMATCH(L"&amp;"OWER(E122), ""dharan|pokhara|biratnagar|birgunj|narayanghat|itahari|hetauda|janakpur|madi""), ""Tier 1"",
  REGEXMATCH(LOWER(E122), ""nepalgunj|butwal|birtamod|dhangadhi|ghorahi|beni|kushma|waling|haldibari|dulegauda|baitadi|bhadrapur|syangja|parbat|myagd"&amp;"i|dang|nuwakot|jhapa""), ""Tier 2"",
  TRUE, ""Tier 3""
)"),"Tier 2")</f>
        <v>Tier 2</v>
      </c>
      <c r="M122" s="20" t="s">
        <v>474</v>
      </c>
    </row>
    <row r="123">
      <c r="B123" s="18">
        <f>IFERROR(__xludf.DUMMYFUNCTION("""COMPUTED_VALUE"""),45762.70302083333)</f>
        <v>45762.70302</v>
      </c>
      <c r="C123" s="17" t="str">
        <f>IFERROR(__xludf.DUMMYFUNCTION("""COMPUTED_VALUE"""),"Classy shoes costing rs 1500 already gave rs 150 so final price rs 1350")</f>
        <v>Classy shoes costing rs 1500 already gave rs 150 so final price rs 1350</v>
      </c>
      <c r="D123" s="17" t="str">
        <f>IFERROR(__xludf.DUMMYFUNCTION("""COMPUTED_VALUE"""),"Sushil Luitel")</f>
        <v>Sushil Luitel</v>
      </c>
      <c r="E123" s="17" t="str">
        <f>IFERROR(__xludf.DUMMYFUNCTION("""COMPUTED_VALUE"""),"Dharan, Bhanu Chowk, clock tower")</f>
        <v>Dharan, Bhanu Chowk, clock tower</v>
      </c>
      <c r="F123" s="17">
        <f>IFERROR(__xludf.DUMMYFUNCTION("""COMPUTED_VALUE"""),9.817139815E9)</f>
        <v>9817139815</v>
      </c>
      <c r="G123" s="22">
        <f>IFERROR(__xludf.DUMMYFUNCTION("""COMPUTED_VALUE"""),500.0)</f>
        <v>500</v>
      </c>
      <c r="H123" s="22">
        <f>IFERROR(__xludf.DUMMYFUNCTION("""COMPUTED_VALUE"""),1350.0)</f>
        <v>1350</v>
      </c>
      <c r="I123" s="22">
        <f>IFERROR(__xludf.DUMMYFUNCTION("""COMPUTED_VALUE"""),3.38)</f>
        <v>3.38</v>
      </c>
      <c r="J123" s="17" t="str">
        <f>IFERROR(__xludf.DUMMYFUNCTION("""COMPUTED_VALUE"""),"Delivered")</f>
        <v>Delivered</v>
      </c>
      <c r="K123" s="18">
        <f>IFERROR(__xludf.DUMMYFUNCTION("""COMPUTED_VALUE"""),45765.40896990741)</f>
        <v>45765.40897</v>
      </c>
      <c r="L123" s="17" t="str">
        <f>IFERROR(__xludf.DUMMYFUNCTION("IFS(
  OR(REGEXMATCH(LOWER(E123), ""sirutar|sundarijal|sitapaila|duwakot|tikathali|bhaktapur|lalitpur|kathmandu|ktm|changunarayan|bageswari|ghalate|tinkune|balkot|tikathali""), REGEXMATCH(LOWER(E123), ""inside valley"")), ""Inside Valley"",
  REGEXMATCH(L"&amp;"OWER(E123), ""dharan|pokhara|biratnagar|birgunj|narayanghat|itahari|hetauda|janakpur|madi""), ""Tier 1"",
  REGEXMATCH(LOWER(E123), ""nepalgunj|butwal|birtamod|dhangadhi|ghorahi|beni|kushma|waling|haldibari|dulegauda|baitadi|bhadrapur|syangja|parbat|myagd"&amp;"i|dang|nuwakot|jhapa""), ""Tier 2"",
  TRUE, ""Tier 3""
)"),"Tier 1")</f>
        <v>Tier 1</v>
      </c>
      <c r="M123" s="20" t="s">
        <v>474</v>
      </c>
    </row>
    <row r="124">
      <c r="B124" s="18">
        <f>IFERROR(__xludf.DUMMYFUNCTION("""COMPUTED_VALUE"""),45762.09135416667)</f>
        <v>45762.09135</v>
      </c>
      <c r="C124" s="17" t="str">
        <f>IFERROR(__xludf.DUMMYFUNCTION("""COMPUTED_VALUE"""),"M shoes and price 1500 but gave advance 200  so collecting amount 1300")</f>
        <v>M shoes and price 1500 but gave advance 200  so collecting amount 1300</v>
      </c>
      <c r="D124" s="17" t="str">
        <f>IFERROR(__xludf.DUMMYFUNCTION("""COMPUTED_VALUE"""),"Amar Dahit")</f>
        <v>Amar Dahit</v>
      </c>
      <c r="E124" s="17" t="str">
        <f>IFERROR(__xludf.DUMMYFUNCTION("""COMPUTED_VALUE"""),"Karma international skill training institute, gyaneswor, kalopool, kathmandu")</f>
        <v>Karma international skill training institute, gyaneswor, kalopool, kathmandu</v>
      </c>
      <c r="F124" s="17">
        <f>IFERROR(__xludf.DUMMYFUNCTION("""COMPUTED_VALUE"""),9.808333543E9)</f>
        <v>9808333543</v>
      </c>
      <c r="G124" s="22">
        <f>IFERROR(__xludf.DUMMYFUNCTION("""COMPUTED_VALUE"""),400.0)</f>
        <v>400</v>
      </c>
      <c r="H124" s="22">
        <f>IFERROR(__xludf.DUMMYFUNCTION("""COMPUTED_VALUE"""),1300.0)</f>
        <v>1300</v>
      </c>
      <c r="I124" s="22">
        <f>IFERROR(__xludf.DUMMYFUNCTION("""COMPUTED_VALUE"""),3.25)</f>
        <v>3.25</v>
      </c>
      <c r="J124" s="17" t="str">
        <f>IFERROR(__xludf.DUMMYFUNCTION("""COMPUTED_VALUE"""),"Delivered")</f>
        <v>Delivered</v>
      </c>
      <c r="K124" s="18">
        <f>IFERROR(__xludf.DUMMYFUNCTION("""COMPUTED_VALUE"""),45762.478483796294)</f>
        <v>45762.47848</v>
      </c>
      <c r="L124" s="17" t="str">
        <f>IFERROR(__xludf.DUMMYFUNCTION("IFS(
  OR(REGEXMATCH(LOWER(E124), ""sirutar|sundarijal|sitapaila|duwakot|tikathali|bhaktapur|lalitpur|kathmandu|ktm|changunarayan|bageswari|ghalate|tinkune|balkot|tikathali""), REGEXMATCH(LOWER(E124), ""inside valley"")), ""Inside Valley"",
  REGEXMATCH(L"&amp;"OWER(E124), ""dharan|pokhara|biratnagar|birgunj|narayanghat|itahari|hetauda|janakpur|madi""), ""Tier 1"",
  REGEXMATCH(LOWER(E124), ""nepalgunj|butwal|birtamod|dhangadhi|ghorahi|beni|kushma|waling|haldibari|dulegauda|baitadi|bhadrapur|syangja|parbat|myagd"&amp;"i|dang|nuwakot|jhapa""), ""Tier 2"",
  TRUE, ""Tier 3""
)"),"Inside Valley")</f>
        <v>Inside Valley</v>
      </c>
      <c r="M124" s="20" t="s">
        <v>479</v>
      </c>
    </row>
    <row r="125">
      <c r="B125" s="18">
        <f>IFERROR(__xludf.DUMMYFUNCTION("""COMPUTED_VALUE"""),45761.512812500005)</f>
        <v>45761.51281</v>
      </c>
      <c r="C125" s="17" t="str">
        <f>IFERROR(__xludf.DUMMYFUNCTION("""COMPUTED_VALUE"""),"Shoes cost")</f>
        <v>Shoes cost</v>
      </c>
      <c r="D125" s="17" t="str">
        <f>IFERROR(__xludf.DUMMYFUNCTION("""COMPUTED_VALUE"""),"Aashish basnet")</f>
        <v>Aashish basnet</v>
      </c>
      <c r="E125" s="17" t="str">
        <f>IFERROR(__xludf.DUMMYFUNCTION("""COMPUTED_VALUE"""),"Pm general store")</f>
        <v>Pm general store</v>
      </c>
      <c r="F125" s="17">
        <f>IFERROR(__xludf.DUMMYFUNCTION("""COMPUTED_VALUE"""),9.749878703E9)</f>
        <v>9749878703</v>
      </c>
      <c r="G125" s="22">
        <f>IFERROR(__xludf.DUMMYFUNCTION("""COMPUTED_VALUE"""),500.0)</f>
        <v>500</v>
      </c>
      <c r="H125" s="22">
        <f>IFERROR(__xludf.DUMMYFUNCTION("""COMPUTED_VALUE"""),1500.0)</f>
        <v>1500</v>
      </c>
      <c r="I125" s="22">
        <f>IFERROR(__xludf.DUMMYFUNCTION("""COMPUTED_VALUE"""),3.75)</f>
        <v>3.75</v>
      </c>
      <c r="J125" s="17" t="str">
        <f>IFERROR(__xludf.DUMMYFUNCTION("""COMPUTED_VALUE"""),"Delivered")</f>
        <v>Delivered</v>
      </c>
      <c r="K125" s="18">
        <f>IFERROR(__xludf.DUMMYFUNCTION("""COMPUTED_VALUE"""),45763.31940972222)</f>
        <v>45763.31941</v>
      </c>
      <c r="L125" s="20" t="s">
        <v>500</v>
      </c>
      <c r="M125" s="20" t="s">
        <v>479</v>
      </c>
    </row>
  </sheetData>
  <conditionalFormatting sqref="B2:L2">
    <cfRule type="expression" dxfId="6" priority="1" stopIfTrue="1">
      <formula>TRUE</formula>
    </cfRule>
  </conditionalFormatting>
  <dataValidations>
    <dataValidation type="custom" allowBlank="1" showDropDown="1" sqref="O5:Q11">
      <formula1>AND(ISNUMBER(O5),(NOT(OR(NOT(ISERROR(DATEVALUE(O5))), AND(ISNUMBER(O5), LEFT(CELL("format", O5))="D")))))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63"/>
  </cols>
  <sheetData>
    <row r="1" ht="225.0" customHeight="1"/>
    <row r="3" ht="22.5" customHeight="1">
      <c r="A3" s="23" t="s">
        <v>473</v>
      </c>
      <c r="B3" s="23" t="s">
        <v>475</v>
      </c>
      <c r="C3" s="23" t="s">
        <v>476</v>
      </c>
      <c r="D3" s="23" t="s">
        <v>477</v>
      </c>
    </row>
    <row r="4" ht="22.5" customHeight="1">
      <c r="A4" s="24" t="s">
        <v>479</v>
      </c>
      <c r="B4" s="25">
        <v>24.0</v>
      </c>
      <c r="C4" s="25">
        <v>2.0</v>
      </c>
      <c r="D4" s="25">
        <v>17.0</v>
      </c>
    </row>
    <row r="5" ht="22.5" customHeight="1">
      <c r="A5" s="24" t="s">
        <v>482</v>
      </c>
      <c r="B5" s="25">
        <v>7.0</v>
      </c>
      <c r="C5" s="25">
        <v>10.0</v>
      </c>
      <c r="D5" s="25">
        <v>4.0</v>
      </c>
    </row>
    <row r="6" ht="22.5" customHeight="1">
      <c r="A6" s="24" t="s">
        <v>499</v>
      </c>
      <c r="B6" s="24"/>
      <c r="C6" s="24"/>
      <c r="D6" s="25">
        <v>1.0</v>
      </c>
    </row>
    <row r="7" ht="22.5" customHeight="1">
      <c r="A7" s="24" t="s">
        <v>474</v>
      </c>
      <c r="B7" s="25">
        <v>6.0</v>
      </c>
      <c r="C7" s="25">
        <v>8.0</v>
      </c>
      <c r="D7" s="25">
        <v>19.0</v>
      </c>
    </row>
    <row r="8" ht="22.5" customHeight="1">
      <c r="A8" s="24" t="s">
        <v>498</v>
      </c>
      <c r="B8" s="24"/>
      <c r="C8" s="25">
        <v>10.0</v>
      </c>
      <c r="D8" s="25">
        <v>8.0</v>
      </c>
    </row>
    <row r="9" ht="22.5" customHeight="1">
      <c r="A9" s="24" t="s">
        <v>487</v>
      </c>
      <c r="B9" s="24"/>
      <c r="C9" s="24"/>
      <c r="D9" s="25">
        <v>3.0</v>
      </c>
    </row>
    <row r="10" ht="22.5" customHeight="1">
      <c r="A10" s="24" t="s">
        <v>492</v>
      </c>
      <c r="B10" s="24"/>
      <c r="C10" s="25">
        <v>1.0</v>
      </c>
      <c r="D10" s="25">
        <v>3.0</v>
      </c>
    </row>
  </sheetData>
  <dataValidations>
    <dataValidation type="custom" allowBlank="1" showDropDown="1" sqref="B4:D10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37.63"/>
    <col customWidth="1" min="3" max="3" width="18.75"/>
    <col customWidth="1" min="4" max="4" width="37.63"/>
    <col customWidth="1" min="5" max="5" width="20.63"/>
    <col customWidth="1" min="6" max="6" width="23.38"/>
    <col customWidth="1" min="7" max="7" width="18.25"/>
    <col customWidth="1" min="8" max="10" width="13.5"/>
    <col customWidth="1" min="11" max="11" width="12.5"/>
    <col customWidth="1" min="12" max="12" width="15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501</v>
      </c>
      <c r="G1" s="1" t="s">
        <v>7</v>
      </c>
      <c r="H1" s="1" t="s">
        <v>502</v>
      </c>
      <c r="I1" s="1" t="s">
        <v>8</v>
      </c>
      <c r="J1" s="29" t="s">
        <v>472</v>
      </c>
      <c r="K1" s="1" t="s">
        <v>503</v>
      </c>
      <c r="L1" s="23" t="s">
        <v>473</v>
      </c>
    </row>
    <row r="2" ht="22.5" customHeight="1">
      <c r="A2" s="2">
        <v>45894.195439814815</v>
      </c>
      <c r="B2" s="3" t="s">
        <v>504</v>
      </c>
      <c r="C2" s="3" t="s">
        <v>505</v>
      </c>
      <c r="D2" s="3" t="s">
        <v>506</v>
      </c>
      <c r="E2" s="4">
        <v>9.749766969E9</v>
      </c>
      <c r="F2" s="4">
        <v>1350.0</v>
      </c>
      <c r="G2" s="4">
        <v>161.5</v>
      </c>
      <c r="H2" s="3" t="s">
        <v>507</v>
      </c>
      <c r="I2" s="3" t="s">
        <v>39</v>
      </c>
      <c r="J2" s="2" t="str">
        <f t="shared" ref="J2:J29" si="1">INDEX({"Tier 2";"Tier 3";"Inside Valley";"Tier 3";"Tier 3";"Tier 3";"Tier 1";"Tier 3";"Tier 1";"Tier 3";"Tier 3";"Tier 1";"Tier 3";"Inside Valley";"Tier 1";"Inside Valley";"Tier 2";"Inside Valley";"Tier 1";"Tier 2";"Tier 3";"Tier 2";"Inside Valley";"Tier 2";"Tier 2";"Tier 1";"Tier 1";"Tier 1"}, ROW()-1)</f>
        <v>Tier 2</v>
      </c>
      <c r="K2" s="2">
        <v>45898.348958333336</v>
      </c>
      <c r="L2" s="30" t="s">
        <v>498</v>
      </c>
    </row>
    <row r="3" ht="22.5" customHeight="1">
      <c r="A3" s="2">
        <v>45893.18366898148</v>
      </c>
      <c r="B3" s="3" t="s">
        <v>508</v>
      </c>
      <c r="C3" s="3" t="s">
        <v>509</v>
      </c>
      <c r="D3" s="3" t="s">
        <v>510</v>
      </c>
      <c r="E3" s="4">
        <v>9.803727667E9</v>
      </c>
      <c r="F3" s="4">
        <v>1350.0</v>
      </c>
      <c r="G3" s="4">
        <v>187.0</v>
      </c>
      <c r="H3" s="3" t="s">
        <v>507</v>
      </c>
      <c r="I3" s="3" t="s">
        <v>39</v>
      </c>
      <c r="J3" s="2" t="str">
        <f t="shared" si="1"/>
        <v>Tier 3</v>
      </c>
      <c r="K3" s="2">
        <v>45900.38527777778</v>
      </c>
      <c r="L3" s="30" t="s">
        <v>499</v>
      </c>
    </row>
    <row r="4" ht="22.5" customHeight="1">
      <c r="A4" s="2">
        <v>45893.18243055556</v>
      </c>
      <c r="B4" s="3" t="s">
        <v>511</v>
      </c>
      <c r="C4" s="3" t="s">
        <v>512</v>
      </c>
      <c r="D4" s="3" t="s">
        <v>513</v>
      </c>
      <c r="E4" s="4">
        <v>9.829685117E9</v>
      </c>
      <c r="F4" s="4">
        <v>1300.0</v>
      </c>
      <c r="G4" s="4">
        <v>30.0</v>
      </c>
      <c r="H4" s="3" t="s">
        <v>507</v>
      </c>
      <c r="I4" s="3" t="s">
        <v>39</v>
      </c>
      <c r="J4" s="2" t="str">
        <f t="shared" si="1"/>
        <v>Inside Valley</v>
      </c>
      <c r="K4" s="2">
        <v>45895.512025462966</v>
      </c>
      <c r="L4" s="30" t="s">
        <v>479</v>
      </c>
    </row>
    <row r="5" ht="22.5" customHeight="1">
      <c r="A5" s="2">
        <v>45891.189247685186</v>
      </c>
      <c r="B5" s="3" t="s">
        <v>514</v>
      </c>
      <c r="C5" s="3" t="s">
        <v>515</v>
      </c>
      <c r="D5" s="3" t="s">
        <v>516</v>
      </c>
      <c r="E5" s="4">
        <v>9.862054261E9</v>
      </c>
      <c r="F5" s="4">
        <v>1350.0</v>
      </c>
      <c r="G5" s="4">
        <v>187.0</v>
      </c>
      <c r="H5" s="3" t="s">
        <v>507</v>
      </c>
      <c r="I5" s="3" t="s">
        <v>39</v>
      </c>
      <c r="J5" s="2" t="str">
        <f t="shared" si="1"/>
        <v>Tier 3</v>
      </c>
      <c r="K5" s="2">
        <v>45898.33793981482</v>
      </c>
      <c r="L5" s="30" t="s">
        <v>492</v>
      </c>
    </row>
    <row r="6" ht="22.5" customHeight="1">
      <c r="A6" s="2">
        <v>45891.18835648148</v>
      </c>
      <c r="B6" s="3" t="s">
        <v>517</v>
      </c>
      <c r="C6" s="3" t="s">
        <v>518</v>
      </c>
      <c r="D6" s="3" t="s">
        <v>519</v>
      </c>
      <c r="E6" s="4">
        <v>9.700989853E9</v>
      </c>
      <c r="F6" s="4">
        <v>1550.0</v>
      </c>
      <c r="G6" s="4">
        <v>187.0</v>
      </c>
      <c r="H6" s="3" t="s">
        <v>507</v>
      </c>
      <c r="I6" s="3" t="s">
        <v>39</v>
      </c>
      <c r="J6" s="2" t="str">
        <f t="shared" si="1"/>
        <v>Tier 3</v>
      </c>
      <c r="K6" s="2">
        <v>45897.43603009259</v>
      </c>
      <c r="L6" s="30" t="s">
        <v>499</v>
      </c>
    </row>
    <row r="7" ht="22.5" customHeight="1">
      <c r="A7" s="2">
        <v>45890.182442129626</v>
      </c>
      <c r="B7" s="3" t="s">
        <v>520</v>
      </c>
      <c r="C7" s="3" t="s">
        <v>521</v>
      </c>
      <c r="D7" s="3" t="s">
        <v>522</v>
      </c>
      <c r="E7" s="4">
        <v>9.767194547E9</v>
      </c>
      <c r="F7" s="4">
        <v>2650.0</v>
      </c>
      <c r="G7" s="4">
        <v>187.0</v>
      </c>
      <c r="H7" s="3" t="s">
        <v>507</v>
      </c>
      <c r="I7" s="3" t="s">
        <v>39</v>
      </c>
      <c r="J7" s="2" t="str">
        <f t="shared" si="1"/>
        <v>Tier 3</v>
      </c>
      <c r="K7" s="2">
        <v>45901.3428587963</v>
      </c>
      <c r="L7" s="30" t="s">
        <v>474</v>
      </c>
    </row>
    <row r="8" ht="22.5" customHeight="1">
      <c r="A8" s="2">
        <v>45890.179976851854</v>
      </c>
      <c r="B8" s="3" t="s">
        <v>523</v>
      </c>
      <c r="C8" s="3" t="s">
        <v>524</v>
      </c>
      <c r="D8" s="3" t="s">
        <v>525</v>
      </c>
      <c r="E8" s="4">
        <v>9.70057248E9</v>
      </c>
      <c r="F8" s="4">
        <v>2600.0</v>
      </c>
      <c r="G8" s="4">
        <v>144.5</v>
      </c>
      <c r="H8" s="3" t="s">
        <v>507</v>
      </c>
      <c r="I8" s="3" t="s">
        <v>39</v>
      </c>
      <c r="J8" s="2" t="str">
        <f t="shared" si="1"/>
        <v>Tier 1</v>
      </c>
      <c r="K8" s="2">
        <v>45896.294074074074</v>
      </c>
      <c r="L8" s="30" t="s">
        <v>482</v>
      </c>
    </row>
    <row r="9" ht="22.5" customHeight="1">
      <c r="A9" s="2">
        <v>45888.186435185184</v>
      </c>
      <c r="B9" s="3" t="s">
        <v>83</v>
      </c>
      <c r="C9" s="3" t="s">
        <v>526</v>
      </c>
      <c r="D9" s="3" t="s">
        <v>527</v>
      </c>
      <c r="E9" s="4">
        <v>9.763886248E9</v>
      </c>
      <c r="F9" s="4">
        <v>1650.0</v>
      </c>
      <c r="G9" s="4">
        <v>187.0</v>
      </c>
      <c r="H9" s="3" t="s">
        <v>507</v>
      </c>
      <c r="I9" s="3" t="s">
        <v>39</v>
      </c>
      <c r="J9" s="2" t="str">
        <f t="shared" si="1"/>
        <v>Tier 3</v>
      </c>
      <c r="K9" s="2">
        <v>45897.409780092596</v>
      </c>
      <c r="L9" s="30" t="s">
        <v>498</v>
      </c>
    </row>
    <row r="10" ht="22.5" customHeight="1">
      <c r="A10" s="2">
        <v>45887.15969907407</v>
      </c>
      <c r="B10" s="3" t="s">
        <v>528</v>
      </c>
      <c r="C10" s="3" t="s">
        <v>529</v>
      </c>
      <c r="D10" s="3" t="s">
        <v>530</v>
      </c>
      <c r="E10" s="4">
        <v>9.801468689E9</v>
      </c>
      <c r="F10" s="4">
        <v>1300.0</v>
      </c>
      <c r="G10" s="4">
        <v>144.5</v>
      </c>
      <c r="H10" s="3" t="s">
        <v>507</v>
      </c>
      <c r="I10" s="3" t="s">
        <v>39</v>
      </c>
      <c r="J10" s="2" t="str">
        <f t="shared" si="1"/>
        <v>Tier 1</v>
      </c>
      <c r="K10" s="2">
        <v>45897.21827546296</v>
      </c>
      <c r="L10" s="30" t="s">
        <v>474</v>
      </c>
    </row>
    <row r="11" ht="22.5" customHeight="1">
      <c r="A11" s="2">
        <v>45876.21986111111</v>
      </c>
      <c r="B11" s="3" t="s">
        <v>531</v>
      </c>
      <c r="C11" s="3" t="s">
        <v>532</v>
      </c>
      <c r="D11" s="3" t="s">
        <v>533</v>
      </c>
      <c r="E11" s="4">
        <v>9.766461241E9</v>
      </c>
      <c r="F11" s="4">
        <v>1350.0</v>
      </c>
      <c r="G11" s="4">
        <v>30.0</v>
      </c>
      <c r="H11" s="3" t="s">
        <v>507</v>
      </c>
      <c r="I11" s="3" t="s">
        <v>39</v>
      </c>
      <c r="J11" s="2" t="str">
        <f t="shared" si="1"/>
        <v>Tier 3</v>
      </c>
      <c r="K11" s="2">
        <v>45878.34395833333</v>
      </c>
      <c r="L11" s="30" t="s">
        <v>479</v>
      </c>
    </row>
    <row r="12" ht="22.5" customHeight="1">
      <c r="A12" s="2">
        <v>45872.17233796296</v>
      </c>
      <c r="B12" s="3" t="s">
        <v>534</v>
      </c>
      <c r="C12" s="3" t="s">
        <v>535</v>
      </c>
      <c r="D12" s="3" t="s">
        <v>536</v>
      </c>
      <c r="E12" s="4">
        <v>9.823024947E9</v>
      </c>
      <c r="F12" s="4">
        <v>1350.0</v>
      </c>
      <c r="G12" s="4">
        <v>187.0</v>
      </c>
      <c r="H12" s="3" t="s">
        <v>507</v>
      </c>
      <c r="I12" s="3" t="s">
        <v>39</v>
      </c>
      <c r="J12" s="2" t="str">
        <f t="shared" si="1"/>
        <v>Tier 3</v>
      </c>
      <c r="K12" s="2">
        <v>45877.32513888889</v>
      </c>
      <c r="L12" s="30" t="s">
        <v>479</v>
      </c>
    </row>
    <row r="13" ht="22.5" customHeight="1">
      <c r="A13" s="2">
        <v>45867.20826388889</v>
      </c>
      <c r="B13" s="3" t="s">
        <v>537</v>
      </c>
      <c r="C13" s="3" t="s">
        <v>538</v>
      </c>
      <c r="D13" s="3" t="s">
        <v>539</v>
      </c>
      <c r="E13" s="4">
        <v>9.762335114E9</v>
      </c>
      <c r="F13" s="4">
        <v>1850.0</v>
      </c>
      <c r="G13" s="4">
        <v>144.5</v>
      </c>
      <c r="H13" s="3" t="s">
        <v>507</v>
      </c>
      <c r="I13" s="3" t="s">
        <v>39</v>
      </c>
      <c r="J13" s="2" t="str">
        <f t="shared" si="1"/>
        <v>Tier 1</v>
      </c>
      <c r="K13" s="2">
        <v>45872.475023148145</v>
      </c>
      <c r="L13" s="30" t="s">
        <v>482</v>
      </c>
    </row>
    <row r="14" ht="22.5" customHeight="1">
      <c r="A14" s="2">
        <v>45860.67034722222</v>
      </c>
      <c r="B14" s="3" t="s">
        <v>540</v>
      </c>
      <c r="C14" s="3" t="s">
        <v>194</v>
      </c>
      <c r="D14" s="3" t="s">
        <v>541</v>
      </c>
      <c r="E14" s="4">
        <v>9.805771229E9</v>
      </c>
      <c r="F14" s="4">
        <v>1300.0</v>
      </c>
      <c r="G14" s="4">
        <v>187.0</v>
      </c>
      <c r="H14" s="3" t="s">
        <v>507</v>
      </c>
      <c r="I14" s="3" t="s">
        <v>39</v>
      </c>
      <c r="J14" s="2" t="str">
        <f t="shared" si="1"/>
        <v>Tier 3</v>
      </c>
      <c r="K14" s="2">
        <v>45876.28931712963</v>
      </c>
      <c r="L14" s="30" t="s">
        <v>492</v>
      </c>
    </row>
    <row r="15" ht="22.5" customHeight="1">
      <c r="A15" s="2">
        <v>45812.195625</v>
      </c>
      <c r="B15" s="3" t="s">
        <v>216</v>
      </c>
      <c r="C15" s="3" t="s">
        <v>542</v>
      </c>
      <c r="D15" s="3" t="s">
        <v>543</v>
      </c>
      <c r="E15" s="4">
        <v>9.7658668E9</v>
      </c>
      <c r="F15" s="4">
        <v>1300.0</v>
      </c>
      <c r="G15" s="4">
        <v>14.75</v>
      </c>
      <c r="H15" s="3" t="s">
        <v>507</v>
      </c>
      <c r="I15" s="3" t="s">
        <v>39</v>
      </c>
      <c r="J15" s="2" t="str">
        <f t="shared" si="1"/>
        <v>Inside Valley</v>
      </c>
      <c r="K15" s="2">
        <v>45816.22820601852</v>
      </c>
      <c r="L15" s="30" t="s">
        <v>479</v>
      </c>
    </row>
    <row r="16" ht="22.5" customHeight="1">
      <c r="A16" s="2">
        <v>45811.20309027778</v>
      </c>
      <c r="B16" s="3" t="s">
        <v>544</v>
      </c>
      <c r="C16" s="3" t="s">
        <v>545</v>
      </c>
      <c r="D16" s="3" t="s">
        <v>546</v>
      </c>
      <c r="E16" s="4">
        <v>9.817169782E9</v>
      </c>
      <c r="F16" s="4">
        <v>1300.0</v>
      </c>
      <c r="G16" s="4">
        <v>67.15</v>
      </c>
      <c r="H16" s="3" t="s">
        <v>507</v>
      </c>
      <c r="I16" s="3" t="s">
        <v>39</v>
      </c>
      <c r="J16" s="2" t="str">
        <f t="shared" si="1"/>
        <v>Tier 1</v>
      </c>
      <c r="K16" s="2">
        <v>45816.28327546296</v>
      </c>
      <c r="L16" s="30" t="s">
        <v>482</v>
      </c>
    </row>
    <row r="17" ht="22.5" customHeight="1">
      <c r="A17" s="2">
        <v>45808.20375</v>
      </c>
      <c r="B17" s="3" t="s">
        <v>547</v>
      </c>
      <c r="C17" s="3" t="s">
        <v>548</v>
      </c>
      <c r="D17" s="3" t="s">
        <v>549</v>
      </c>
      <c r="E17" s="4">
        <v>9.7044113E9</v>
      </c>
      <c r="F17" s="4">
        <v>1300.0</v>
      </c>
      <c r="G17" s="4">
        <v>14.75</v>
      </c>
      <c r="H17" s="3" t="s">
        <v>507</v>
      </c>
      <c r="I17" s="3" t="s">
        <v>39</v>
      </c>
      <c r="J17" s="2" t="str">
        <f t="shared" si="1"/>
        <v>Inside Valley</v>
      </c>
      <c r="K17" s="2">
        <v>45809.61064814815</v>
      </c>
      <c r="L17" s="30" t="s">
        <v>479</v>
      </c>
    </row>
    <row r="18" ht="22.5" customHeight="1">
      <c r="A18" s="2">
        <v>45782.184594907405</v>
      </c>
      <c r="B18" s="3" t="s">
        <v>550</v>
      </c>
      <c r="C18" s="3" t="s">
        <v>551</v>
      </c>
      <c r="D18" s="3" t="s">
        <v>552</v>
      </c>
      <c r="E18" s="4">
        <v>9.84744701E9</v>
      </c>
      <c r="F18" s="4">
        <v>1200.0</v>
      </c>
      <c r="G18" s="4">
        <v>67.15</v>
      </c>
      <c r="H18" s="3" t="s">
        <v>507</v>
      </c>
      <c r="I18" s="3" t="s">
        <v>39</v>
      </c>
      <c r="J18" s="2" t="str">
        <f t="shared" si="1"/>
        <v>Tier 2</v>
      </c>
      <c r="K18" s="2">
        <v>45784.485671296294</v>
      </c>
      <c r="L18" s="30" t="s">
        <v>498</v>
      </c>
    </row>
    <row r="19" ht="22.5" customHeight="1">
      <c r="A19" s="2">
        <v>45780.753599537034</v>
      </c>
      <c r="B19" s="3" t="s">
        <v>553</v>
      </c>
      <c r="C19" s="3" t="s">
        <v>327</v>
      </c>
      <c r="D19" s="3" t="s">
        <v>554</v>
      </c>
      <c r="E19" s="4">
        <v>9.709300431E9</v>
      </c>
      <c r="F19" s="4">
        <v>1200.0</v>
      </c>
      <c r="G19" s="4">
        <v>14.75</v>
      </c>
      <c r="H19" s="3" t="s">
        <v>507</v>
      </c>
      <c r="I19" s="3" t="s">
        <v>39</v>
      </c>
      <c r="J19" s="2" t="str">
        <f t="shared" si="1"/>
        <v>Inside Valley</v>
      </c>
      <c r="K19" s="2">
        <v>45781.653344907405</v>
      </c>
      <c r="L19" s="30" t="s">
        <v>479</v>
      </c>
    </row>
    <row r="20" ht="22.5" customHeight="1">
      <c r="A20" s="2">
        <v>45779.77607638889</v>
      </c>
      <c r="B20" s="3" t="s">
        <v>555</v>
      </c>
      <c r="C20" s="3" t="s">
        <v>556</v>
      </c>
      <c r="D20" s="3" t="s">
        <v>557</v>
      </c>
      <c r="E20" s="4">
        <v>9.862985448E9</v>
      </c>
      <c r="F20" s="4">
        <v>1200.0</v>
      </c>
      <c r="G20" s="4">
        <v>67.15</v>
      </c>
      <c r="H20" s="3" t="s">
        <v>507</v>
      </c>
      <c r="I20" s="3" t="s">
        <v>39</v>
      </c>
      <c r="J20" s="2" t="str">
        <f t="shared" si="1"/>
        <v>Tier 1</v>
      </c>
      <c r="K20" s="2">
        <v>45783.53596064815</v>
      </c>
      <c r="L20" s="30" t="s">
        <v>474</v>
      </c>
    </row>
    <row r="21" ht="22.5" customHeight="1">
      <c r="A21" s="2">
        <v>45779.06700231481</v>
      </c>
      <c r="B21" s="3" t="s">
        <v>558</v>
      </c>
      <c r="C21" s="3" t="s">
        <v>559</v>
      </c>
      <c r="D21" s="3" t="s">
        <v>560</v>
      </c>
      <c r="E21" s="4">
        <v>9.704578101E9</v>
      </c>
      <c r="F21" s="4">
        <v>1200.0</v>
      </c>
      <c r="G21" s="4">
        <v>67.15</v>
      </c>
      <c r="H21" s="3" t="s">
        <v>507</v>
      </c>
      <c r="I21" s="3" t="s">
        <v>39</v>
      </c>
      <c r="J21" s="2" t="str">
        <f t="shared" si="1"/>
        <v>Tier 2</v>
      </c>
      <c r="K21" s="2">
        <v>45782.463958333334</v>
      </c>
      <c r="L21" s="30" t="s">
        <v>479</v>
      </c>
    </row>
    <row r="22" ht="22.5" customHeight="1">
      <c r="A22" s="2">
        <v>45766.19715277778</v>
      </c>
      <c r="B22" s="3" t="s">
        <v>561</v>
      </c>
      <c r="C22" s="3" t="s">
        <v>562</v>
      </c>
      <c r="D22" s="3" t="s">
        <v>563</v>
      </c>
      <c r="E22" s="4">
        <v>9.767408061E9</v>
      </c>
      <c r="F22" s="4">
        <v>1600.0</v>
      </c>
      <c r="G22" s="4">
        <v>67.15</v>
      </c>
      <c r="H22" s="3" t="s">
        <v>507</v>
      </c>
      <c r="I22" s="3" t="s">
        <v>39</v>
      </c>
      <c r="J22" s="2" t="str">
        <f t="shared" si="1"/>
        <v>Tier 3</v>
      </c>
      <c r="K22" s="2">
        <v>45779.458333333336</v>
      </c>
      <c r="L22" s="30" t="s">
        <v>499</v>
      </c>
    </row>
    <row r="23" ht="22.5" customHeight="1">
      <c r="A23" s="6">
        <f t="array" ref="A23">XLOOKUP(C23, reference!$C$2:$C$160, reference!$A$2:$A$160)</f>
        <v>45811.17373</v>
      </c>
      <c r="B23" s="7" t="str">
        <f t="array" ref="B23">XLOOKUP(C23, reference!$C$2:$C$160, reference!$B$2:$B$160)</f>
        <v>Dark brown size 42</v>
      </c>
      <c r="C23" s="7" t="s">
        <v>564</v>
      </c>
      <c r="D23" s="7" t="str">
        <f t="array" ref="D23">XLOOKUP(C23, reference!$C$2:$C$160, reference!$D$2:$D$160)</f>
        <v>Mp school Road, nepal gunj</v>
      </c>
      <c r="E23" s="8">
        <f t="array" ref="E23">XLOOKUP(C23, reference!$C$2:$C$160, reference!$E$2:$E$160)</f>
        <v>9804527646</v>
      </c>
      <c r="F23" s="8">
        <f t="array" ref="F23">XLOOKUP(C23, reference!$C$2:$C$160, reference!$G$2:$G$160)</f>
        <v>0</v>
      </c>
      <c r="G23" s="8">
        <v>67.15</v>
      </c>
      <c r="H23" s="7" t="s">
        <v>507</v>
      </c>
      <c r="I23" s="7" t="str">
        <f t="array" ref="I23">XLOOKUP(C23, reference!$C$2:$C$160, reference!$I$2:$I$160)</f>
        <v>Return</v>
      </c>
      <c r="J23" s="6" t="str">
        <f t="shared" si="1"/>
        <v>Tier 2</v>
      </c>
      <c r="K23" s="6">
        <f t="array" ref="K23">XLOOKUP(C23, reference!$C$2:$C$160, reference!$J$2:$J$160)</f>
        <v>45812.52065</v>
      </c>
      <c r="L23" s="30" t="s">
        <v>498</v>
      </c>
    </row>
    <row r="24" ht="22.5" customHeight="1">
      <c r="A24" s="6">
        <f t="array" ref="A24">XLOOKUP(C24, reference!$C$2:$C$160, reference!$A$2:$A$160)</f>
        <v>45806.19416</v>
      </c>
      <c r="B24" s="7" t="str">
        <f t="array" ref="B24">XLOOKUP(C24, reference!$C$2:$C$160, reference!$B$2:$B$160)</f>
        <v>White shoes size 42</v>
      </c>
      <c r="C24" s="7" t="s">
        <v>565</v>
      </c>
      <c r="D24" s="7" t="str">
        <f t="array" ref="D24">XLOOKUP(C24, reference!$C$2:$C$160, reference!$D$2:$D$160)</f>
        <v>Binam kasmetik and gift shop, kalanki</v>
      </c>
      <c r="E24" s="8">
        <f t="array" ref="E24">XLOOKUP(C24, reference!$C$2:$C$160, reference!$E$2:$E$160)</f>
        <v>9761875124</v>
      </c>
      <c r="F24" s="8">
        <f t="array" ref="F24">XLOOKUP(C24, reference!$C$2:$C$160, reference!$G$2:$G$160)</f>
        <v>0</v>
      </c>
      <c r="G24" s="8">
        <v>14.75</v>
      </c>
      <c r="H24" s="7" t="s">
        <v>507</v>
      </c>
      <c r="I24" s="7" t="str">
        <f t="array" ref="I24">XLOOKUP(C24, reference!$C$2:$C$160, reference!$I$2:$I$160)</f>
        <v>Return</v>
      </c>
      <c r="J24" s="6" t="str">
        <f t="shared" si="1"/>
        <v>Inside Valley</v>
      </c>
      <c r="K24" s="6">
        <f t="array" ref="K24">XLOOKUP(C24, reference!$C$2:$C$160, reference!$J$2:$J$160)</f>
        <v>45807.38868</v>
      </c>
      <c r="L24" s="30" t="s">
        <v>479</v>
      </c>
    </row>
    <row r="25" ht="22.5" customHeight="1">
      <c r="A25" s="6">
        <f t="array" ref="A25">XLOOKUP(C25, reference!$C$2:$C$160, reference!$A$2:$A$160)</f>
        <v>45860.99294</v>
      </c>
      <c r="B25" s="7" t="str">
        <f t="array" ref="B25">XLOOKUP(C25, reference!$C$2:$C$160, reference!$B$2:$B$160)</f>
        <v>Vans size 40</v>
      </c>
      <c r="C25" s="7" t="s">
        <v>566</v>
      </c>
      <c r="D25" s="7" t="str">
        <f t="array" ref="D25">XLOOKUP(C25, reference!$C$2:$C$160, reference!$D$2:$D$160)</f>
        <v>Simara, iccha hotel</v>
      </c>
      <c r="E25" s="8">
        <f t="array" ref="E25">XLOOKUP(C25, reference!$C$2:$C$160, reference!$E$2:$E$160)</f>
        <v>9824283470</v>
      </c>
      <c r="F25" s="8">
        <f t="array" ref="F25">XLOOKUP(C25, reference!$C$2:$C$160, reference!$G$2:$G$160)</f>
        <v>0</v>
      </c>
      <c r="G25" s="8">
        <v>204.0</v>
      </c>
      <c r="H25" s="7" t="s">
        <v>507</v>
      </c>
      <c r="I25" s="7" t="s">
        <v>39</v>
      </c>
      <c r="J25" s="6" t="str">
        <f t="shared" si="1"/>
        <v>Tier 2</v>
      </c>
      <c r="K25" s="6">
        <f t="array" ref="K25">XLOOKUP(C25, reference!$C$2:$C$160, reference!$J$2:$J$160)</f>
        <v>45863.42215</v>
      </c>
      <c r="L25" s="30" t="s">
        <v>487</v>
      </c>
    </row>
    <row r="26" ht="22.5" customHeight="1">
      <c r="A26" s="6">
        <f t="array" ref="A26">XLOOKUP(C26, reference!$C$2:$C$160, reference!$A$2:$A$160)</f>
        <v>45861.20547</v>
      </c>
      <c r="B26" s="7" t="str">
        <f t="array" ref="B26">XLOOKUP(C26, reference!$C$2:$C$160, reference!$B$2:$B$160)</f>
        <v/>
      </c>
      <c r="C26" s="7" t="s">
        <v>567</v>
      </c>
      <c r="D26" s="7" t="str">
        <f t="array" ref="D26">XLOOKUP(C26, reference!$C$2:$C$160, reference!$D$2:$D$160)</f>
        <v>Sindhuli bazzar, kabiram</v>
      </c>
      <c r="E26" s="8">
        <f t="array" ref="E26">XLOOKUP(C26, reference!$C$2:$C$160, reference!$E$2:$E$160)</f>
        <v>9844184404</v>
      </c>
      <c r="F26" s="8">
        <f t="array" ref="F26">XLOOKUP(C26, reference!$C$2:$C$160, reference!$G$2:$G$160)</f>
        <v>0</v>
      </c>
      <c r="G26" s="8">
        <v>161.5</v>
      </c>
      <c r="H26" s="7" t="s">
        <v>507</v>
      </c>
      <c r="I26" s="7" t="str">
        <f t="array" ref="I26">XLOOKUP(C26, reference!$C$2:$C$160, reference!$I$2:$I$160)</f>
        <v>Return</v>
      </c>
      <c r="J26" s="6" t="str">
        <f t="shared" si="1"/>
        <v>Tier 2</v>
      </c>
      <c r="K26" s="6">
        <f t="array" ref="K26">XLOOKUP(C26, reference!$C$2:$C$160, reference!$J$2:$J$160)</f>
        <v>45864.3805</v>
      </c>
      <c r="L26" s="30" t="s">
        <v>479</v>
      </c>
    </row>
    <row r="27" ht="22.5" customHeight="1">
      <c r="A27" s="6">
        <f t="array" ref="A27">XLOOKUP(C27, reference!$C$2:$C$160, reference!$A$2:$A$160)</f>
        <v>45864.19787</v>
      </c>
      <c r="B27" s="7" t="str">
        <f t="array" ref="B27">XLOOKUP(C27, reference!$C$2:$C$160, reference!$B$2:$B$160)</f>
        <v>Martin 3 sole size 39</v>
      </c>
      <c r="C27" s="7" t="s">
        <v>568</v>
      </c>
      <c r="D27" s="7" t="str">
        <f t="array" ref="D27">XLOOKUP(C27, reference!$C$2:$C$160, reference!$D$2:$D$160)</f>
        <v>Chitwan, pokhara buspark</v>
      </c>
      <c r="E27" s="8">
        <f t="array" ref="E27">XLOOKUP(C27, reference!$C$2:$C$160, reference!$E$2:$E$160)</f>
        <v>9701268575</v>
      </c>
      <c r="F27" s="8">
        <f t="array" ref="F27">XLOOKUP(C27, reference!$C$2:$C$160, reference!$G$2:$G$160)</f>
        <v>0</v>
      </c>
      <c r="G27" s="8">
        <v>144.5</v>
      </c>
      <c r="H27" s="7" t="s">
        <v>507</v>
      </c>
      <c r="I27" s="7" t="str">
        <f t="array" ref="I27">XLOOKUP(C27, reference!$C$2:$C$160, reference!$I$2:$I$160)</f>
        <v>Return</v>
      </c>
      <c r="J27" s="6" t="str">
        <f t="shared" si="1"/>
        <v>Tier 1</v>
      </c>
      <c r="K27" s="6">
        <f t="array" ref="K27">XLOOKUP(C27, reference!$C$2:$C$160, reference!$J$2:$J$160)</f>
        <v>45868.45729</v>
      </c>
      <c r="L27" s="30" t="s">
        <v>479</v>
      </c>
    </row>
    <row r="28" ht="22.5" customHeight="1">
      <c r="A28" s="6">
        <f t="array" ref="A28">XLOOKUP(C28, reference!$C$2:$C$160, reference!$A$2:$A$160)</f>
        <v>45892.23144</v>
      </c>
      <c r="B28" s="7" t="str">
        <f t="array" ref="B28">XLOOKUP(C28, reference!$C$2:$C$160, reference!$B$2:$B$160)</f>
        <v>Martin 1 sole 42</v>
      </c>
      <c r="C28" s="7" t="s">
        <v>569</v>
      </c>
      <c r="D28" s="7" t="str">
        <f t="array" ref="D28">XLOOKUP(C28, reference!$C$2:$C$160, reference!$D$2:$D$160)</f>
        <v>Birgunj, murlibagaicha </v>
      </c>
      <c r="E28" s="8">
        <f t="array" ref="E28">XLOOKUP(C28, reference!$C$2:$C$160, reference!$E$2:$E$160)</f>
        <v>9805639259</v>
      </c>
      <c r="F28" s="8">
        <f t="array" ref="F28">XLOOKUP(C28, reference!$C$2:$C$160, reference!$G$2:$G$160)</f>
        <v>0</v>
      </c>
      <c r="G28" s="8">
        <v>144.5</v>
      </c>
      <c r="H28" s="7" t="s">
        <v>507</v>
      </c>
      <c r="I28" s="7" t="str">
        <f t="array" ref="I28">XLOOKUP(C28, reference!$C$2:$C$160, reference!$I$2:$I$160)</f>
        <v>Return</v>
      </c>
      <c r="J28" s="6" t="str">
        <f t="shared" si="1"/>
        <v>Tier 1</v>
      </c>
      <c r="K28" s="6">
        <f t="array" ref="K28">XLOOKUP(C28, reference!$C$2:$C$160, reference!$J$2:$J$160)</f>
        <v>45895.24694</v>
      </c>
      <c r="L28" s="30" t="s">
        <v>487</v>
      </c>
    </row>
    <row r="29" ht="22.5" customHeight="1">
      <c r="A29" s="6">
        <f t="array" ref="A29">XLOOKUP(C29, reference!$C$2:$C$160, reference!$A$2:$A$160)</f>
        <v>45892.23306</v>
      </c>
      <c r="B29" s="7" t="str">
        <f t="array" ref="B29">XLOOKUP(C29, reference!$C$2:$C$160, reference!$B$2:$B$160)</f>
        <v>Red Nike 40</v>
      </c>
      <c r="C29" s="7" t="s">
        <v>570</v>
      </c>
      <c r="D29" s="7" t="str">
        <f t="array" ref="D29">XLOOKUP(C29, reference!$C$2:$C$160, reference!$D$2:$D$160)</f>
        <v>Chitwan, tandi </v>
      </c>
      <c r="E29" s="8">
        <f t="array" ref="E29">XLOOKUP(C29, reference!$C$2:$C$160, reference!$E$2:$E$160)</f>
        <v>9708251241</v>
      </c>
      <c r="F29" s="8">
        <f t="array" ref="F29">XLOOKUP(C29, reference!$C$2:$C$160, reference!$G$2:$G$160)</f>
        <v>0</v>
      </c>
      <c r="G29" s="8">
        <v>144.5</v>
      </c>
      <c r="H29" s="7" t="s">
        <v>507</v>
      </c>
      <c r="I29" s="7" t="str">
        <f t="array" ref="I29">XLOOKUP(C29, reference!$C$2:$C$160, reference!$I$2:$I$160)</f>
        <v>Return</v>
      </c>
      <c r="J29" s="6" t="str">
        <f t="shared" si="1"/>
        <v>Tier 1</v>
      </c>
      <c r="K29" s="6">
        <f t="array" ref="K29">XLOOKUP(C29, reference!$C$2:$C$160, reference!$J$2:$J$160)</f>
        <v>45895.33392</v>
      </c>
      <c r="L29" s="30" t="s">
        <v>479</v>
      </c>
    </row>
    <row r="32" ht="22.5" customHeight="1">
      <c r="G32" s="23" t="s">
        <v>473</v>
      </c>
      <c r="H32" s="23" t="s">
        <v>475</v>
      </c>
      <c r="I32" s="23" t="s">
        <v>476</v>
      </c>
      <c r="J32" s="23" t="s">
        <v>477</v>
      </c>
      <c r="K32" s="23" t="s">
        <v>478</v>
      </c>
    </row>
    <row r="33" ht="22.5" customHeight="1">
      <c r="G33" s="24" t="s">
        <v>480</v>
      </c>
      <c r="H33" s="25">
        <v>7.0</v>
      </c>
      <c r="I33" s="25">
        <v>2.0</v>
      </c>
      <c r="J33" s="25">
        <v>2.0</v>
      </c>
      <c r="K33" s="25">
        <v>11.0</v>
      </c>
    </row>
    <row r="34" ht="22.5" customHeight="1">
      <c r="G34" s="24" t="s">
        <v>485</v>
      </c>
      <c r="H34" s="25">
        <v>3.0</v>
      </c>
      <c r="I34" s="25">
        <v>0.0</v>
      </c>
      <c r="J34" s="25">
        <v>0.0</v>
      </c>
      <c r="K34" s="25">
        <v>3.0</v>
      </c>
    </row>
    <row r="35" ht="22.5" customHeight="1">
      <c r="G35" s="24" t="s">
        <v>495</v>
      </c>
      <c r="H35" s="25">
        <v>0.0</v>
      </c>
      <c r="I35" s="25">
        <v>0.0</v>
      </c>
      <c r="J35" s="25">
        <v>3.0</v>
      </c>
      <c r="K35" s="25">
        <v>3.0</v>
      </c>
    </row>
    <row r="36" ht="22.5" customHeight="1">
      <c r="G36" s="24" t="s">
        <v>488</v>
      </c>
      <c r="H36" s="25">
        <v>0.0</v>
      </c>
      <c r="I36" s="25">
        <v>3.0</v>
      </c>
      <c r="J36" s="25">
        <v>1.0</v>
      </c>
      <c r="K36" s="25">
        <v>4.0</v>
      </c>
    </row>
    <row r="37" ht="22.5" customHeight="1">
      <c r="G37" s="24" t="s">
        <v>483</v>
      </c>
      <c r="H37" s="25">
        <v>2.0</v>
      </c>
      <c r="I37" s="25">
        <v>0.0</v>
      </c>
      <c r="J37" s="25">
        <v>1.0</v>
      </c>
      <c r="K37" s="25">
        <v>3.0</v>
      </c>
    </row>
    <row r="38" ht="22.5" customHeight="1">
      <c r="G38" s="24" t="s">
        <v>493</v>
      </c>
      <c r="H38" s="25">
        <v>1.0</v>
      </c>
      <c r="I38" s="25">
        <v>1.0</v>
      </c>
      <c r="J38" s="25">
        <v>0.0</v>
      </c>
      <c r="K38" s="25">
        <v>2.0</v>
      </c>
    </row>
    <row r="39" ht="22.5" customHeight="1">
      <c r="G39" s="24" t="s">
        <v>490</v>
      </c>
      <c r="H39" s="25">
        <v>0.0</v>
      </c>
      <c r="I39" s="25">
        <v>0.0</v>
      </c>
      <c r="J39" s="25">
        <v>2.0</v>
      </c>
      <c r="K39" s="25">
        <v>2.0</v>
      </c>
    </row>
    <row r="40" ht="22.5" customHeight="1">
      <c r="G40" s="26"/>
      <c r="H40" s="27">
        <f>SUM(Table3[Tier 1])</f>
        <v>13</v>
      </c>
      <c r="I40" s="31">
        <f>SUM(Table3[Tier 2])</f>
        <v>6</v>
      </c>
      <c r="J40" s="27">
        <f>SUM(Table3[Tier 3])</f>
        <v>9</v>
      </c>
      <c r="K40" s="27">
        <f>SUM(Table3[Total])</f>
        <v>28</v>
      </c>
    </row>
  </sheetData>
  <dataValidations>
    <dataValidation type="custom" allowBlank="1" showDropDown="1" sqref="H33:K39">
      <formula1>AND(ISNUMBER(H33),(NOT(OR(NOT(ISERROR(DATEVALUE(H33))), AND(ISNUMBER(H33), LEFT(CELL("format", H33))="D")))))</formula1>
    </dataValidation>
    <dataValidation type="custom" allowBlank="1" showDropDown="1" sqref="A2:A29 K2:K29">
      <formula1>OR(NOT(ISERROR(DATEVALUE(A2))), AND(ISNUMBER(A2), LEFT(CELL("format", A2))="D"))</formula1>
    </dataValidation>
    <dataValidation type="custom" allowBlank="1" showDropDown="1" sqref="E2:G29">
      <formula1>AND(ISNUMBER(E2),(NOT(OR(NOT(ISERROR(DATEVALUE(E2))), AND(ISNUMBER(E2), LEFT(CELL("format", E2))="D")))))</formula1>
    </dataValidation>
    <dataValidation type="list" allowBlank="1" sqref="L2:L29">
      <formula1>"Lumbini,Karnali,Bagmati,Sudurpashchim,Karnali,Koshi,Gandaki,Lumbini,Koshi,Bagmati,Bagmati,Gandaki,Sudurpashchim,Bagmati,Gandaki,Bagmati,Lumbini,Bagmati,Koshi,Bagmati,Karnali,Lumbini,Bagmati,Madhesh,Bagmati,Bagmati,Madhesh,Bagmati"</formula1>
    </dataValidation>
  </dataValidations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63"/>
  </cols>
  <sheetData>
    <row r="1" ht="225.0" customHeight="1"/>
    <row r="3" ht="22.5" customHeight="1">
      <c r="A3" s="23" t="s">
        <v>473</v>
      </c>
      <c r="B3" s="23" t="s">
        <v>475</v>
      </c>
      <c r="C3" s="23" t="s">
        <v>476</v>
      </c>
      <c r="D3" s="23" t="s">
        <v>477</v>
      </c>
    </row>
    <row r="4" ht="22.5" customHeight="1">
      <c r="A4" s="24" t="s">
        <v>479</v>
      </c>
      <c r="B4" s="25">
        <v>7.0</v>
      </c>
      <c r="C4" s="25">
        <v>2.0</v>
      </c>
      <c r="D4" s="25">
        <v>2.0</v>
      </c>
    </row>
    <row r="5" ht="22.5" customHeight="1">
      <c r="A5" s="24" t="s">
        <v>482</v>
      </c>
      <c r="B5" s="25">
        <v>3.0</v>
      </c>
      <c r="C5" s="24"/>
      <c r="D5" s="24"/>
    </row>
    <row r="6" ht="22.5" customHeight="1">
      <c r="A6" s="24" t="s">
        <v>499</v>
      </c>
      <c r="B6" s="24"/>
      <c r="C6" s="24"/>
      <c r="D6" s="25">
        <v>3.0</v>
      </c>
    </row>
    <row r="7" ht="22.5" customHeight="1">
      <c r="A7" s="24" t="s">
        <v>474</v>
      </c>
      <c r="B7" s="25">
        <v>2.0</v>
      </c>
      <c r="C7" s="24"/>
      <c r="D7" s="25">
        <v>1.0</v>
      </c>
    </row>
    <row r="8" ht="22.5" customHeight="1">
      <c r="A8" s="24" t="s">
        <v>498</v>
      </c>
      <c r="B8" s="24"/>
      <c r="C8" s="25">
        <v>3.0</v>
      </c>
      <c r="D8" s="25">
        <v>1.0</v>
      </c>
    </row>
    <row r="9" ht="22.5" customHeight="1">
      <c r="A9" s="24" t="s">
        <v>487</v>
      </c>
      <c r="B9" s="25">
        <v>1.0</v>
      </c>
      <c r="C9" s="25">
        <v>1.0</v>
      </c>
      <c r="D9" s="24"/>
    </row>
    <row r="10" ht="22.5" customHeight="1">
      <c r="A10" s="24" t="s">
        <v>492</v>
      </c>
      <c r="B10" s="24"/>
      <c r="C10" s="24"/>
      <c r="D10" s="25">
        <v>2.0</v>
      </c>
    </row>
  </sheetData>
  <dataValidations>
    <dataValidation type="custom" allowBlank="1" showDropDown="1" sqref="B4:D10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11.75"/>
    <col customWidth="1" min="2" max="2" width="37.63"/>
    <col customWidth="1" min="3" max="3" width="15.75"/>
    <col customWidth="1" min="4" max="4" width="13.38"/>
  </cols>
  <sheetData>
    <row r="1">
      <c r="A1" s="17" t="s">
        <v>571</v>
      </c>
    </row>
    <row r="2">
      <c r="A2" s="17" t="s">
        <v>572</v>
      </c>
      <c r="B2" s="17" t="s">
        <v>573</v>
      </c>
      <c r="C2" s="17" t="s">
        <v>574</v>
      </c>
      <c r="D2" s="17" t="s">
        <v>575</v>
      </c>
      <c r="E2" s="17" t="s">
        <v>576</v>
      </c>
      <c r="F2" s="17" t="s">
        <v>577</v>
      </c>
    </row>
    <row r="4">
      <c r="A4" s="17" t="s">
        <v>578</v>
      </c>
    </row>
    <row r="5">
      <c r="A5" s="17" t="s">
        <v>579</v>
      </c>
      <c r="B5" s="17" t="s">
        <v>580</v>
      </c>
      <c r="C5" s="17" t="s">
        <v>581</v>
      </c>
      <c r="D5" s="17" t="s">
        <v>582</v>
      </c>
      <c r="E5" s="17" t="s">
        <v>583</v>
      </c>
      <c r="F5" s="17" t="s">
        <v>584</v>
      </c>
    </row>
    <row r="7">
      <c r="A7" s="17" t="s">
        <v>585</v>
      </c>
    </row>
    <row r="9">
      <c r="A9" s="17" t="s">
        <v>586</v>
      </c>
    </row>
    <row r="10">
      <c r="A10" s="17" t="s">
        <v>587</v>
      </c>
    </row>
    <row r="11">
      <c r="A11" s="21"/>
      <c r="B11" s="21"/>
      <c r="C11" s="21"/>
      <c r="D11" s="21"/>
    </row>
    <row r="12" ht="22.5" customHeight="1">
      <c r="A12" s="32" t="s">
        <v>588</v>
      </c>
      <c r="B12" s="32" t="s">
        <v>589</v>
      </c>
      <c r="C12" s="32" t="s">
        <v>590</v>
      </c>
      <c r="D12" s="32" t="s">
        <v>591</v>
      </c>
    </row>
    <row r="13" ht="22.5" customHeight="1">
      <c r="A13" s="33" t="s">
        <v>592</v>
      </c>
      <c r="B13" s="33" t="s">
        <v>593</v>
      </c>
      <c r="C13" s="34">
        <v>1.93</v>
      </c>
      <c r="D13" s="33" t="s">
        <v>594</v>
      </c>
    </row>
    <row r="14" ht="22.5" customHeight="1">
      <c r="A14" s="33" t="s">
        <v>595</v>
      </c>
      <c r="B14" s="33" t="s">
        <v>596</v>
      </c>
      <c r="C14" s="34">
        <v>19.0</v>
      </c>
      <c r="D14" s="33" t="s">
        <v>594</v>
      </c>
    </row>
    <row r="15" ht="22.5" customHeight="1">
      <c r="A15" s="33" t="s">
        <v>597</v>
      </c>
      <c r="B15" s="33" t="s">
        <v>598</v>
      </c>
      <c r="C15" s="34">
        <v>17.0</v>
      </c>
      <c r="D15" s="33" t="s">
        <v>594</v>
      </c>
    </row>
    <row r="16" ht="22.5" customHeight="1">
      <c r="A16" s="33" t="s">
        <v>599</v>
      </c>
      <c r="B16" s="33" t="s">
        <v>600</v>
      </c>
      <c r="C16" s="34">
        <v>13.31</v>
      </c>
      <c r="D16" s="33" t="s">
        <v>594</v>
      </c>
    </row>
    <row r="17" ht="22.5" customHeight="1">
      <c r="A17" s="33" t="s">
        <v>601</v>
      </c>
      <c r="B17" s="33" t="s">
        <v>602</v>
      </c>
      <c r="C17" s="34">
        <v>17.0</v>
      </c>
      <c r="D17" s="33" t="s">
        <v>594</v>
      </c>
    </row>
    <row r="18" ht="22.5" customHeight="1">
      <c r="A18" s="33" t="s">
        <v>603</v>
      </c>
      <c r="B18" s="33" t="s">
        <v>604</v>
      </c>
      <c r="C18" s="34">
        <v>17.0</v>
      </c>
      <c r="D18" s="33" t="s">
        <v>594</v>
      </c>
    </row>
    <row r="19" ht="22.5" customHeight="1">
      <c r="A19" s="33" t="s">
        <v>605</v>
      </c>
      <c r="B19" s="33" t="s">
        <v>606</v>
      </c>
      <c r="C19" s="34">
        <v>6.79</v>
      </c>
      <c r="D19" s="33" t="s">
        <v>594</v>
      </c>
    </row>
    <row r="20" ht="22.5" customHeight="1">
      <c r="A20" s="33" t="s">
        <v>605</v>
      </c>
      <c r="B20" s="33" t="s">
        <v>607</v>
      </c>
      <c r="C20" s="34">
        <v>2.7</v>
      </c>
      <c r="D20" s="33" t="s">
        <v>594</v>
      </c>
    </row>
    <row r="21" ht="22.5" customHeight="1">
      <c r="A21" s="33" t="s">
        <v>605</v>
      </c>
      <c r="B21" s="33" t="s">
        <v>608</v>
      </c>
      <c r="C21" s="34">
        <v>1.35</v>
      </c>
      <c r="D21" s="33" t="s">
        <v>594</v>
      </c>
    </row>
    <row r="22" ht="22.5" customHeight="1">
      <c r="A22" s="33" t="s">
        <v>609</v>
      </c>
      <c r="B22" s="33" t="s">
        <v>610</v>
      </c>
      <c r="C22" s="34">
        <v>4.28</v>
      </c>
      <c r="D22" s="33" t="s">
        <v>594</v>
      </c>
    </row>
    <row r="23" ht="22.5" customHeight="1">
      <c r="A23" s="33" t="s">
        <v>609</v>
      </c>
      <c r="B23" s="33" t="s">
        <v>611</v>
      </c>
      <c r="C23" s="34">
        <v>2.14</v>
      </c>
      <c r="D23" s="33" t="s">
        <v>594</v>
      </c>
    </row>
    <row r="24" ht="22.5" customHeight="1">
      <c r="A24" s="33" t="s">
        <v>612</v>
      </c>
      <c r="B24" s="33" t="s">
        <v>613</v>
      </c>
      <c r="C24" s="34">
        <v>17.0</v>
      </c>
      <c r="D24" s="33" t="s">
        <v>594</v>
      </c>
    </row>
    <row r="25" ht="22.5" customHeight="1">
      <c r="A25" s="33" t="s">
        <v>614</v>
      </c>
      <c r="B25" s="33" t="s">
        <v>615</v>
      </c>
      <c r="C25" s="34">
        <v>7.98</v>
      </c>
      <c r="D25" s="33" t="s">
        <v>594</v>
      </c>
    </row>
    <row r="26" ht="22.5" customHeight="1">
      <c r="A26" s="33" t="s">
        <v>616</v>
      </c>
      <c r="B26" s="33" t="s">
        <v>617</v>
      </c>
      <c r="C26" s="34">
        <v>14.36</v>
      </c>
      <c r="D26" s="33" t="s">
        <v>594</v>
      </c>
    </row>
    <row r="27" ht="22.5" customHeight="1">
      <c r="A27" s="33" t="s">
        <v>618</v>
      </c>
      <c r="B27" s="33" t="s">
        <v>619</v>
      </c>
      <c r="C27" s="34">
        <v>2.27</v>
      </c>
      <c r="D27" s="33" t="s">
        <v>594</v>
      </c>
    </row>
    <row r="28" ht="22.5" customHeight="1">
      <c r="A28" s="33" t="s">
        <v>620</v>
      </c>
      <c r="B28" s="33" t="s">
        <v>621</v>
      </c>
      <c r="C28" s="34">
        <v>2.44</v>
      </c>
      <c r="D28" s="33" t="s">
        <v>594</v>
      </c>
    </row>
    <row r="29" ht="22.5" customHeight="1">
      <c r="A29" s="33" t="s">
        <v>622</v>
      </c>
      <c r="B29" s="33" t="s">
        <v>623</v>
      </c>
      <c r="C29" s="34">
        <v>16.95</v>
      </c>
      <c r="D29" s="33" t="s">
        <v>594</v>
      </c>
    </row>
    <row r="30" ht="22.5" customHeight="1">
      <c r="A30" s="33" t="s">
        <v>624</v>
      </c>
      <c r="B30" s="33" t="s">
        <v>625</v>
      </c>
      <c r="C30" s="34">
        <v>14.69</v>
      </c>
      <c r="D30" s="33" t="s">
        <v>594</v>
      </c>
    </row>
    <row r="31" ht="22.5" customHeight="1">
      <c r="A31" s="33" t="s">
        <v>624</v>
      </c>
      <c r="B31" s="33" t="s">
        <v>626</v>
      </c>
      <c r="C31" s="34">
        <v>12.43</v>
      </c>
      <c r="D31" s="33" t="s">
        <v>594</v>
      </c>
    </row>
    <row r="32" ht="22.5" customHeight="1">
      <c r="A32" s="33" t="s">
        <v>624</v>
      </c>
      <c r="B32" s="33" t="s">
        <v>627</v>
      </c>
      <c r="C32" s="34">
        <v>11.3</v>
      </c>
      <c r="D32" s="33" t="s">
        <v>594</v>
      </c>
    </row>
    <row r="33" ht="22.5" customHeight="1">
      <c r="A33" s="33" t="s">
        <v>624</v>
      </c>
      <c r="B33" s="33" t="s">
        <v>628</v>
      </c>
      <c r="C33" s="34">
        <v>11.3</v>
      </c>
      <c r="D33" s="33" t="s">
        <v>594</v>
      </c>
    </row>
    <row r="34" ht="22.5" customHeight="1">
      <c r="A34" s="33" t="s">
        <v>629</v>
      </c>
      <c r="B34" s="33" t="s">
        <v>630</v>
      </c>
      <c r="C34" s="34">
        <v>11.3</v>
      </c>
      <c r="D34" s="33" t="s">
        <v>594</v>
      </c>
    </row>
    <row r="35" ht="22.5" customHeight="1">
      <c r="A35" s="33" t="s">
        <v>631</v>
      </c>
      <c r="B35" s="33" t="s">
        <v>632</v>
      </c>
      <c r="C35" s="34">
        <v>11.3</v>
      </c>
      <c r="D35" s="33" t="s">
        <v>594</v>
      </c>
    </row>
    <row r="36" ht="22.5" customHeight="1">
      <c r="A36" s="33" t="s">
        <v>633</v>
      </c>
      <c r="B36" s="33" t="s">
        <v>634</v>
      </c>
      <c r="C36" s="34">
        <v>11.3</v>
      </c>
      <c r="D36" s="33" t="s">
        <v>594</v>
      </c>
    </row>
    <row r="37" ht="22.5" customHeight="1">
      <c r="A37" s="33" t="s">
        <v>635</v>
      </c>
      <c r="B37" s="33" t="s">
        <v>636</v>
      </c>
      <c r="C37" s="34">
        <v>11.46</v>
      </c>
      <c r="D37" s="33" t="s">
        <v>594</v>
      </c>
    </row>
    <row r="38" ht="22.5" customHeight="1">
      <c r="A38" s="33" t="s">
        <v>637</v>
      </c>
      <c r="B38" s="33" t="s">
        <v>638</v>
      </c>
      <c r="C38" s="34">
        <v>11.3</v>
      </c>
      <c r="D38" s="33" t="s">
        <v>594</v>
      </c>
    </row>
    <row r="39" ht="22.5" customHeight="1">
      <c r="A39" s="33" t="s">
        <v>639</v>
      </c>
      <c r="B39" s="33" t="s">
        <v>640</v>
      </c>
      <c r="C39" s="34">
        <v>11.38</v>
      </c>
      <c r="D39" s="33" t="s">
        <v>594</v>
      </c>
    </row>
    <row r="40" ht="22.5" customHeight="1">
      <c r="A40" s="33" t="s">
        <v>641</v>
      </c>
      <c r="B40" s="33" t="s">
        <v>642</v>
      </c>
      <c r="C40" s="34">
        <v>11.3</v>
      </c>
      <c r="D40" s="33" t="s">
        <v>594</v>
      </c>
    </row>
    <row r="41" ht="22.5" customHeight="1">
      <c r="A41" s="33" t="s">
        <v>643</v>
      </c>
      <c r="B41" s="35" t="s">
        <v>644</v>
      </c>
      <c r="C41" s="34">
        <v>2.85</v>
      </c>
      <c r="D41" s="33" t="s">
        <v>594</v>
      </c>
    </row>
    <row r="42" ht="22.5" customHeight="1">
      <c r="A42" s="33" t="s">
        <v>645</v>
      </c>
      <c r="B42" s="33" t="s">
        <v>646</v>
      </c>
      <c r="C42" s="34">
        <v>11.3</v>
      </c>
      <c r="D42" s="33" t="s">
        <v>594</v>
      </c>
    </row>
    <row r="43" ht="22.5" customHeight="1">
      <c r="B43" s="33" t="s">
        <v>647</v>
      </c>
      <c r="C43" s="34">
        <v>306.71</v>
      </c>
      <c r="D43" s="33" t="s">
        <v>594</v>
      </c>
    </row>
    <row r="44" ht="22.5" customHeight="1">
      <c r="C44" s="34"/>
    </row>
    <row r="45" ht="22.5" customHeight="1">
      <c r="A45" s="33" t="s">
        <v>648</v>
      </c>
      <c r="C45" s="34"/>
    </row>
    <row r="46" ht="22.5" customHeight="1">
      <c r="A46" s="33" t="s">
        <v>649</v>
      </c>
      <c r="C46" s="34"/>
    </row>
    <row r="47" ht="22.5" customHeight="1">
      <c r="A47" s="3" t="s">
        <v>650</v>
      </c>
      <c r="B47" s="3">
        <v>13.61</v>
      </c>
      <c r="C47" s="34"/>
    </row>
    <row r="48" ht="22.5" customHeight="1">
      <c r="A48" s="3" t="s">
        <v>478</v>
      </c>
      <c r="B48" s="36">
        <v>320.32</v>
      </c>
      <c r="C48" s="34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C13:C48">
      <formula1>AND(ISNUMBER(C13),(NOT(OR(NOT(ISERROR(DATEVALUE(C13))), AND(ISNUMBER(C13), LEFT(CELL("format", C13))="D")))))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20.0"/>
    <col customWidth="1" min="3" max="3" width="37.63"/>
    <col customWidth="1" min="4" max="4" width="22.38"/>
    <col customWidth="1" min="5" max="5" width="14.25"/>
    <col customWidth="1" min="6" max="6" width="37.63"/>
    <col customWidth="1" min="7" max="7" width="20.38"/>
    <col customWidth="1" min="8" max="8" width="17.0"/>
    <col customWidth="1" min="9" max="9" width="22.63"/>
    <col customWidth="1" min="10" max="10" width="23.88"/>
    <col customWidth="1" min="11" max="11" width="17.88"/>
    <col customWidth="1" min="12" max="12" width="13.38"/>
    <col customWidth="1" min="14" max="14" width="20.25"/>
  </cols>
  <sheetData>
    <row r="1" ht="22.5" customHeight="1">
      <c r="A1" s="1" t="s">
        <v>651</v>
      </c>
      <c r="B1" s="1" t="s">
        <v>652</v>
      </c>
      <c r="C1" s="1" t="s">
        <v>653</v>
      </c>
      <c r="D1" s="1" t="s">
        <v>654</v>
      </c>
      <c r="E1" s="1" t="s">
        <v>655</v>
      </c>
      <c r="F1" s="1" t="s">
        <v>656</v>
      </c>
      <c r="G1" s="1" t="s">
        <v>657</v>
      </c>
      <c r="H1" s="1" t="s">
        <v>658</v>
      </c>
      <c r="I1" s="1" t="s">
        <v>659</v>
      </c>
      <c r="J1" s="1" t="s">
        <v>660</v>
      </c>
      <c r="K1" s="1" t="s">
        <v>661</v>
      </c>
      <c r="L1" s="1" t="s">
        <v>662</v>
      </c>
      <c r="M1" s="1" t="s">
        <v>663</v>
      </c>
      <c r="N1" s="1" t="s">
        <v>664</v>
      </c>
    </row>
    <row r="2" ht="22.5" customHeight="1">
      <c r="A2" s="37">
        <v>45024.0</v>
      </c>
      <c r="B2" s="37">
        <v>46150.0</v>
      </c>
      <c r="C2" s="3" t="s">
        <v>665</v>
      </c>
      <c r="D2" s="5" t="s">
        <v>666</v>
      </c>
      <c r="E2" s="4">
        <v>2.0</v>
      </c>
      <c r="F2" s="3" t="s">
        <v>667</v>
      </c>
      <c r="G2" s="4">
        <v>0.775</v>
      </c>
      <c r="H2" s="3">
        <v>1.0</v>
      </c>
      <c r="I2" s="3" t="s">
        <v>668</v>
      </c>
      <c r="J2" s="4">
        <v>1.55</v>
      </c>
      <c r="K2" s="4">
        <v>2190.0</v>
      </c>
      <c r="L2" s="4">
        <v>1867.0</v>
      </c>
      <c r="M2" s="37">
        <v>45494.0</v>
      </c>
      <c r="N2" s="3" t="s">
        <v>669</v>
      </c>
    </row>
    <row r="3" ht="22.5" customHeight="1">
      <c r="A3" s="37">
        <v>45024.0</v>
      </c>
      <c r="B3" s="37">
        <v>46150.0</v>
      </c>
      <c r="C3" s="3" t="s">
        <v>670</v>
      </c>
      <c r="D3" s="5" t="s">
        <v>666</v>
      </c>
      <c r="E3" s="4">
        <v>26.0</v>
      </c>
      <c r="F3" s="3" t="s">
        <v>667</v>
      </c>
      <c r="G3" s="4">
        <v>0.15384615</v>
      </c>
      <c r="H3" s="3">
        <v>4.0</v>
      </c>
      <c r="I3" s="3" t="s">
        <v>671</v>
      </c>
      <c r="J3" s="4">
        <v>4.0</v>
      </c>
      <c r="K3" s="4">
        <v>7686.0</v>
      </c>
      <c r="L3" s="4">
        <v>6038.0</v>
      </c>
      <c r="M3" s="37">
        <v>45621.0</v>
      </c>
      <c r="N3" s="3" t="s">
        <v>669</v>
      </c>
    </row>
    <row r="4" ht="22.5" customHeight="1">
      <c r="A4" s="37">
        <v>45024.0</v>
      </c>
      <c r="B4" s="37">
        <v>46150.0</v>
      </c>
      <c r="C4" s="3" t="s">
        <v>672</v>
      </c>
      <c r="D4" s="5" t="s">
        <v>666</v>
      </c>
      <c r="E4" s="4">
        <v>67.0</v>
      </c>
      <c r="F4" s="3" t="s">
        <v>667</v>
      </c>
      <c r="G4" s="4">
        <v>0.13462687</v>
      </c>
      <c r="H4" s="3" t="s">
        <v>673</v>
      </c>
      <c r="I4" s="4">
        <v>0.0</v>
      </c>
      <c r="J4" s="4">
        <v>9.02</v>
      </c>
      <c r="K4" s="4">
        <v>38229.0</v>
      </c>
      <c r="L4" s="4">
        <v>29000.0</v>
      </c>
      <c r="M4" s="37">
        <v>45763.0</v>
      </c>
      <c r="N4" s="3" t="s">
        <v>669</v>
      </c>
    </row>
    <row r="5" ht="22.5" customHeight="1">
      <c r="A5" s="37">
        <v>45024.0</v>
      </c>
      <c r="B5" s="37">
        <v>46150.0</v>
      </c>
      <c r="C5" s="3" t="s">
        <v>674</v>
      </c>
      <c r="D5" s="5" t="s">
        <v>666</v>
      </c>
      <c r="E5" s="4">
        <v>165.0</v>
      </c>
      <c r="F5" s="3" t="s">
        <v>667</v>
      </c>
      <c r="G5" s="4">
        <v>0.11830303</v>
      </c>
      <c r="H5" s="3" t="s">
        <v>673</v>
      </c>
      <c r="I5" s="4">
        <v>0.0</v>
      </c>
      <c r="J5" s="4">
        <v>19.52</v>
      </c>
      <c r="K5" s="4">
        <v>77447.0</v>
      </c>
      <c r="L5" s="4">
        <v>49930.0</v>
      </c>
      <c r="M5" s="37">
        <v>45773.0</v>
      </c>
      <c r="N5" s="3" t="s">
        <v>669</v>
      </c>
    </row>
    <row r="6" ht="22.5" customHeight="1">
      <c r="A6" s="37">
        <v>45024.0</v>
      </c>
      <c r="B6" s="37">
        <v>46150.0</v>
      </c>
      <c r="C6" s="3" t="s">
        <v>675</v>
      </c>
      <c r="D6" s="5" t="s">
        <v>676</v>
      </c>
      <c r="E6" s="4">
        <v>216.0</v>
      </c>
      <c r="F6" s="3" t="s">
        <v>667</v>
      </c>
      <c r="G6" s="4">
        <v>0.04949074</v>
      </c>
      <c r="H6" s="3" t="s">
        <v>673</v>
      </c>
      <c r="I6" s="4">
        <v>0.0</v>
      </c>
      <c r="J6" s="4">
        <v>10.69</v>
      </c>
      <c r="K6" s="4">
        <v>40375.0</v>
      </c>
      <c r="L6" s="4">
        <v>33616.0</v>
      </c>
      <c r="M6" s="3" t="s">
        <v>677</v>
      </c>
      <c r="N6" s="3" t="s">
        <v>669</v>
      </c>
    </row>
    <row r="7" ht="22.5" customHeight="1">
      <c r="A7" s="37">
        <v>45024.0</v>
      </c>
      <c r="B7" s="37">
        <v>46150.0</v>
      </c>
      <c r="C7" s="3" t="s">
        <v>678</v>
      </c>
      <c r="D7" s="5" t="s">
        <v>666</v>
      </c>
      <c r="E7" s="4">
        <v>787.0</v>
      </c>
      <c r="F7" s="3" t="s">
        <v>667</v>
      </c>
      <c r="G7" s="4">
        <v>0.10102922</v>
      </c>
      <c r="H7" s="3" t="s">
        <v>673</v>
      </c>
      <c r="I7" s="4">
        <v>0.0</v>
      </c>
      <c r="J7" s="4">
        <v>79.51</v>
      </c>
      <c r="K7" s="4">
        <v>281599.0</v>
      </c>
      <c r="L7" s="4">
        <v>159456.0</v>
      </c>
      <c r="M7" s="3" t="s">
        <v>677</v>
      </c>
      <c r="N7" s="3" t="s">
        <v>669</v>
      </c>
    </row>
    <row r="8" ht="22.5" customHeight="1">
      <c r="A8" s="37">
        <v>45024.0</v>
      </c>
      <c r="B8" s="37">
        <v>46150.0</v>
      </c>
      <c r="C8" s="3" t="s">
        <v>679</v>
      </c>
      <c r="D8" s="5" t="s">
        <v>666</v>
      </c>
      <c r="E8" s="4">
        <v>1170.0</v>
      </c>
      <c r="F8" s="3" t="s">
        <v>667</v>
      </c>
      <c r="G8" s="4">
        <v>0.10001709</v>
      </c>
      <c r="H8" s="3" t="s">
        <v>673</v>
      </c>
      <c r="I8" s="4">
        <v>0.0</v>
      </c>
      <c r="J8" s="4">
        <v>117.02</v>
      </c>
      <c r="K8" s="4">
        <v>307687.0</v>
      </c>
      <c r="L8" s="4">
        <v>199532.0</v>
      </c>
      <c r="M8" s="3" t="s">
        <v>677</v>
      </c>
      <c r="N8" s="3" t="s">
        <v>669</v>
      </c>
    </row>
    <row r="9" ht="22.5" customHeight="1">
      <c r="A9" s="37">
        <v>45024.0</v>
      </c>
      <c r="B9" s="37">
        <v>46150.0</v>
      </c>
      <c r="C9" s="3" t="s">
        <v>680</v>
      </c>
      <c r="D9" s="5" t="s">
        <v>666</v>
      </c>
      <c r="E9" s="4">
        <v>766.0</v>
      </c>
      <c r="F9" s="3" t="s">
        <v>667</v>
      </c>
      <c r="G9" s="4">
        <v>0.08562663</v>
      </c>
      <c r="H9" s="3" t="s">
        <v>673</v>
      </c>
      <c r="I9" s="4">
        <v>0.0</v>
      </c>
      <c r="J9" s="4">
        <v>65.59</v>
      </c>
      <c r="K9" s="4">
        <v>218282.0</v>
      </c>
      <c r="L9" s="4">
        <v>140459.0</v>
      </c>
      <c r="M9" s="3" t="s">
        <v>677</v>
      </c>
      <c r="N9" s="3" t="s">
        <v>669</v>
      </c>
    </row>
  </sheetData>
  <dataValidations>
    <dataValidation type="custom" allowBlank="1" showDropDown="1" sqref="A2:B9">
      <formula1>OR(NOT(ISERROR(DATEVALUE(A2))), AND(ISNUMBER(A2), LEFT(CELL("format", A2))="D"))</formula1>
    </dataValidation>
    <dataValidation type="list" allowBlank="1" showDropDown="1" showErrorMessage="1" sqref="D2:D9">
      <formula1>"inactive,rejected"</formula1>
    </dataValidation>
    <dataValidation type="custom" allowBlank="1" showDropDown="1" sqref="E2:E9 G2:G9 I2:L9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25"/>
    <col customWidth="1" min="3" max="5" width="13.5"/>
  </cols>
  <sheetData>
    <row r="1">
      <c r="A1" s="20" t="s">
        <v>681</v>
      </c>
    </row>
    <row r="4">
      <c r="C4" s="20" t="s">
        <v>682</v>
      </c>
    </row>
    <row r="7" ht="22.5" customHeight="1">
      <c r="B7" s="23" t="s">
        <v>473</v>
      </c>
      <c r="C7" s="23" t="s">
        <v>475</v>
      </c>
      <c r="D7" s="23" t="s">
        <v>476</v>
      </c>
      <c r="E7" s="23" t="s">
        <v>477</v>
      </c>
    </row>
    <row r="8" ht="22.5" customHeight="1">
      <c r="B8" s="24" t="s">
        <v>480</v>
      </c>
      <c r="C8" s="25">
        <v>24.0</v>
      </c>
      <c r="D8" s="25">
        <v>2.0</v>
      </c>
      <c r="E8" s="25">
        <v>17.0</v>
      </c>
    </row>
    <row r="9" ht="22.5" customHeight="1">
      <c r="B9" s="24" t="s">
        <v>485</v>
      </c>
      <c r="C9" s="25">
        <v>7.0</v>
      </c>
      <c r="D9" s="25">
        <v>10.0</v>
      </c>
      <c r="E9" s="25">
        <v>4.0</v>
      </c>
    </row>
    <row r="10" ht="22.5" customHeight="1">
      <c r="B10" s="24" t="s">
        <v>495</v>
      </c>
      <c r="C10" s="25">
        <v>0.0</v>
      </c>
      <c r="D10" s="25">
        <v>0.0</v>
      </c>
      <c r="E10" s="25">
        <v>1.0</v>
      </c>
    </row>
    <row r="11" ht="22.5" customHeight="1">
      <c r="B11" s="24" t="s">
        <v>483</v>
      </c>
      <c r="C11" s="25">
        <v>6.0</v>
      </c>
      <c r="D11" s="25">
        <v>8.0</v>
      </c>
      <c r="E11" s="25">
        <v>19.0</v>
      </c>
    </row>
    <row r="12" ht="22.5" customHeight="1">
      <c r="B12" s="24" t="s">
        <v>488</v>
      </c>
      <c r="C12" s="25">
        <v>0.0</v>
      </c>
      <c r="D12" s="25">
        <v>10.0</v>
      </c>
      <c r="E12" s="25">
        <v>8.0</v>
      </c>
    </row>
    <row r="13" ht="22.5" customHeight="1">
      <c r="B13" s="24" t="s">
        <v>493</v>
      </c>
      <c r="C13" s="25">
        <v>0.0</v>
      </c>
      <c r="D13" s="25">
        <v>0.0</v>
      </c>
      <c r="E13" s="25">
        <v>3.0</v>
      </c>
    </row>
    <row r="14" ht="22.5" customHeight="1">
      <c r="B14" s="24" t="s">
        <v>490</v>
      </c>
      <c r="C14" s="25">
        <v>0.0</v>
      </c>
      <c r="D14" s="25">
        <v>1.0</v>
      </c>
      <c r="E14" s="25">
        <v>3.0</v>
      </c>
    </row>
  </sheetData>
  <dataValidations>
    <dataValidation type="custom" allowBlank="1" showDropDown="1" sqref="C8:E14">
      <formula1>AND(ISNUMBER(C8),(NOT(OR(NOT(ISERROR(DATEVALUE(C8))), AND(ISNUMBER(C8), LEFT(CELL("format", C8))="D")))))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3.25"/>
    <col customWidth="1" min="3" max="3" width="15.5"/>
    <col customWidth="1" min="4" max="7" width="12.5"/>
  </cols>
  <sheetData>
    <row r="3" ht="22.5" customHeight="1">
      <c r="B3" s="23" t="s">
        <v>683</v>
      </c>
      <c r="C3" s="23" t="s">
        <v>684</v>
      </c>
      <c r="D3" s="23" t="s">
        <v>685</v>
      </c>
      <c r="E3" s="23" t="s">
        <v>686</v>
      </c>
      <c r="F3" s="23" t="s">
        <v>687</v>
      </c>
      <c r="G3" s="23" t="s">
        <v>688</v>
      </c>
    </row>
    <row r="4" ht="22.5" customHeight="1">
      <c r="B4" s="30" t="s">
        <v>689</v>
      </c>
      <c r="C4" s="30" t="s">
        <v>474</v>
      </c>
      <c r="D4" s="24">
        <v>6.0</v>
      </c>
      <c r="E4" s="24">
        <v>8.0</v>
      </c>
      <c r="F4" s="24">
        <v>19.0</v>
      </c>
      <c r="G4" s="24">
        <v>33.0</v>
      </c>
    </row>
    <row r="5" ht="22.5" customHeight="1">
      <c r="B5" s="30" t="s">
        <v>690</v>
      </c>
      <c r="C5" s="30"/>
      <c r="D5" s="24">
        <v>9100.0</v>
      </c>
      <c r="E5" s="24">
        <v>11900.0</v>
      </c>
      <c r="F5" s="24">
        <v>29020.0</v>
      </c>
      <c r="G5" s="24">
        <v>50020.0</v>
      </c>
    </row>
    <row r="6" ht="22.5" customHeight="1">
      <c r="B6" s="30" t="s">
        <v>691</v>
      </c>
      <c r="C6" s="30"/>
      <c r="D6" s="24">
        <v>3050.0</v>
      </c>
      <c r="E6" s="24">
        <v>3600.0</v>
      </c>
      <c r="F6" s="24">
        <v>8120.0</v>
      </c>
      <c r="G6" s="24">
        <v>14770.0</v>
      </c>
    </row>
    <row r="7" ht="22.5" customHeight="1">
      <c r="B7" s="30" t="s">
        <v>429</v>
      </c>
      <c r="C7" s="30"/>
      <c r="D7" s="24">
        <v>339.76</v>
      </c>
      <c r="E7" s="24">
        <v>1003.77</v>
      </c>
      <c r="F7" s="24">
        <v>2109.59</v>
      </c>
      <c r="G7" s="24">
        <v>3453.12</v>
      </c>
    </row>
    <row r="8" ht="22.5" customHeight="1">
      <c r="B8" s="30"/>
      <c r="C8" s="30"/>
      <c r="D8" s="24"/>
      <c r="E8" s="24"/>
      <c r="F8" s="24"/>
      <c r="G8" s="24"/>
    </row>
    <row r="9" ht="22.5" customHeight="1">
      <c r="B9" s="30" t="s">
        <v>692</v>
      </c>
      <c r="C9" s="30"/>
      <c r="D9" s="24">
        <v>2.0</v>
      </c>
      <c r="E9" s="24">
        <v>0.0</v>
      </c>
      <c r="F9" s="24">
        <v>1.0</v>
      </c>
      <c r="G9" s="24">
        <v>3.0</v>
      </c>
    </row>
    <row r="10" ht="22.5" customHeight="1">
      <c r="B10" s="30" t="s">
        <v>430</v>
      </c>
      <c r="C10" s="30"/>
      <c r="D10" s="24">
        <v>211.65</v>
      </c>
      <c r="E10" s="24">
        <v>0.0</v>
      </c>
      <c r="F10" s="24">
        <v>187.0</v>
      </c>
      <c r="G10" s="24">
        <v>398.65</v>
      </c>
    </row>
    <row r="11" ht="22.5" customHeight="1">
      <c r="B11" s="30" t="s">
        <v>693</v>
      </c>
      <c r="C11" s="30"/>
      <c r="D11" s="38">
        <v>0.25</v>
      </c>
      <c r="E11" s="38">
        <v>0.0</v>
      </c>
      <c r="F11" s="38">
        <v>0.05</v>
      </c>
      <c r="G11" s="38">
        <v>0.0833</v>
      </c>
    </row>
    <row r="12" ht="22.5" customHeight="1">
      <c r="B12" s="30"/>
      <c r="C12" s="30"/>
      <c r="D12" s="24"/>
      <c r="E12" s="24"/>
      <c r="F12" s="24"/>
      <c r="G12" s="24"/>
    </row>
    <row r="13" ht="22.5" customHeight="1">
      <c r="B13" s="30" t="s">
        <v>694</v>
      </c>
      <c r="C13" s="30"/>
      <c r="D13" s="24">
        <v>551.41</v>
      </c>
      <c r="E13" s="24">
        <v>1003.77</v>
      </c>
      <c r="F13" s="24">
        <v>2296.59</v>
      </c>
      <c r="G13" s="24">
        <v>3851.77</v>
      </c>
    </row>
    <row r="14" ht="22.5" customHeight="1">
      <c r="B14" s="30" t="s">
        <v>695</v>
      </c>
      <c r="C14" s="30"/>
      <c r="D14" s="24">
        <v>8.0</v>
      </c>
      <c r="E14" s="24">
        <v>8.0</v>
      </c>
      <c r="F14" s="24">
        <v>20.0</v>
      </c>
      <c r="G14" s="24">
        <v>36.0</v>
      </c>
    </row>
    <row r="15" ht="22.5" customHeight="1">
      <c r="B15" s="30"/>
      <c r="C15" s="30"/>
      <c r="D15" s="24"/>
      <c r="E15" s="24"/>
      <c r="F15" s="24"/>
      <c r="G15" s="24"/>
    </row>
    <row r="16" ht="22.5" customHeight="1">
      <c r="B16" s="30" t="s">
        <v>689</v>
      </c>
      <c r="C16" s="30" t="s">
        <v>487</v>
      </c>
      <c r="D16" s="24">
        <v>0.0</v>
      </c>
      <c r="E16" s="24">
        <v>0.0</v>
      </c>
      <c r="F16" s="24">
        <v>3.0</v>
      </c>
      <c r="G16" s="24">
        <v>3.0</v>
      </c>
    </row>
    <row r="17" ht="22.5" customHeight="1">
      <c r="B17" s="30" t="s">
        <v>690</v>
      </c>
      <c r="C17" s="30"/>
      <c r="D17" s="24">
        <v>0.0</v>
      </c>
      <c r="E17" s="24">
        <v>0.0</v>
      </c>
      <c r="F17" s="24">
        <v>7250.0</v>
      </c>
      <c r="G17" s="24">
        <v>7250.0</v>
      </c>
    </row>
    <row r="18" ht="22.5" customHeight="1">
      <c r="B18" s="30" t="s">
        <v>691</v>
      </c>
      <c r="C18" s="30"/>
      <c r="D18" s="24">
        <v>0.0</v>
      </c>
      <c r="E18" s="24">
        <v>0.0</v>
      </c>
      <c r="F18" s="24">
        <v>1900.0</v>
      </c>
      <c r="G18" s="24">
        <v>1900.0</v>
      </c>
    </row>
    <row r="19" ht="22.5" customHeight="1">
      <c r="B19" s="30" t="s">
        <v>429</v>
      </c>
      <c r="C19" s="30"/>
      <c r="D19" s="24">
        <v>0.0</v>
      </c>
      <c r="E19" s="24">
        <v>0.0</v>
      </c>
      <c r="F19" s="24">
        <v>385.13</v>
      </c>
      <c r="G19" s="24">
        <v>385.13</v>
      </c>
    </row>
    <row r="20" ht="22.5" customHeight="1">
      <c r="B20" s="30"/>
      <c r="C20" s="30"/>
      <c r="D20" s="24"/>
      <c r="E20" s="24"/>
      <c r="F20" s="24"/>
      <c r="G20" s="24"/>
    </row>
    <row r="21" ht="22.5" customHeight="1">
      <c r="B21" s="30" t="s">
        <v>692</v>
      </c>
      <c r="C21" s="30"/>
      <c r="D21" s="24">
        <v>1.0</v>
      </c>
      <c r="E21" s="24">
        <v>1.0</v>
      </c>
      <c r="F21" s="24">
        <v>0.0</v>
      </c>
      <c r="G21" s="24">
        <v>2.0</v>
      </c>
    </row>
    <row r="22" ht="22.5" customHeight="1">
      <c r="B22" s="30" t="s">
        <v>430</v>
      </c>
      <c r="C22" s="30"/>
      <c r="D22" s="24">
        <v>144.5</v>
      </c>
      <c r="E22" s="24">
        <v>204.0</v>
      </c>
      <c r="F22" s="24">
        <v>0.0</v>
      </c>
      <c r="G22" s="24">
        <v>348.5</v>
      </c>
    </row>
    <row r="23" ht="22.5" customHeight="1">
      <c r="B23" s="30" t="s">
        <v>693</v>
      </c>
      <c r="C23" s="30"/>
      <c r="D23" s="38">
        <v>1.0</v>
      </c>
      <c r="E23" s="38">
        <v>1.0</v>
      </c>
      <c r="F23" s="38">
        <v>0.0</v>
      </c>
      <c r="G23" s="38">
        <v>0.4</v>
      </c>
    </row>
    <row r="24" ht="22.5" customHeight="1">
      <c r="B24" s="30"/>
      <c r="C24" s="30"/>
      <c r="D24" s="24"/>
      <c r="E24" s="24"/>
      <c r="F24" s="24"/>
      <c r="G24" s="24"/>
    </row>
    <row r="25" ht="22.5" customHeight="1">
      <c r="B25" s="30" t="s">
        <v>694</v>
      </c>
      <c r="C25" s="30"/>
      <c r="D25" s="24">
        <v>144.5</v>
      </c>
      <c r="E25" s="24">
        <v>204.0</v>
      </c>
      <c r="F25" s="24">
        <v>385.13</v>
      </c>
      <c r="G25" s="24">
        <v>733.63</v>
      </c>
    </row>
    <row r="26" ht="22.5" customHeight="1">
      <c r="B26" s="30" t="s">
        <v>695</v>
      </c>
      <c r="C26" s="30"/>
      <c r="D26" s="24">
        <v>1.0</v>
      </c>
      <c r="E26" s="24">
        <v>1.0</v>
      </c>
      <c r="F26" s="24">
        <v>3.0</v>
      </c>
      <c r="G26" s="24">
        <v>5.0</v>
      </c>
    </row>
    <row r="27" ht="22.5" customHeight="1">
      <c r="B27" s="30"/>
      <c r="C27" s="30"/>
      <c r="D27" s="24"/>
      <c r="E27" s="24"/>
      <c r="F27" s="24"/>
      <c r="G27" s="24"/>
    </row>
    <row r="28" ht="22.5" customHeight="1">
      <c r="B28" s="30" t="s">
        <v>689</v>
      </c>
      <c r="C28" s="30" t="s">
        <v>479</v>
      </c>
      <c r="D28" s="24">
        <v>24.0</v>
      </c>
      <c r="E28" s="24">
        <v>2.0</v>
      </c>
      <c r="F28" s="24">
        <v>17.0</v>
      </c>
      <c r="G28" s="24">
        <v>43.0</v>
      </c>
    </row>
    <row r="29" ht="22.5" customHeight="1">
      <c r="B29" s="30" t="s">
        <v>690</v>
      </c>
      <c r="C29" s="30"/>
      <c r="D29" s="24">
        <v>37070.0</v>
      </c>
      <c r="E29" s="24">
        <v>2950.0</v>
      </c>
      <c r="F29" s="24">
        <v>24050.0</v>
      </c>
      <c r="G29" s="24">
        <v>64070.0</v>
      </c>
    </row>
    <row r="30" ht="22.5" customHeight="1">
      <c r="B30" s="30" t="s">
        <v>691</v>
      </c>
      <c r="C30" s="30"/>
      <c r="D30" s="24">
        <v>11070.0</v>
      </c>
      <c r="E30" s="24">
        <v>1150.0</v>
      </c>
      <c r="F30" s="24">
        <v>6350.0</v>
      </c>
      <c r="G30" s="24">
        <v>18570.0</v>
      </c>
    </row>
    <row r="31" ht="22.5" customHeight="1">
      <c r="B31" s="30" t="s">
        <v>429</v>
      </c>
      <c r="C31" s="30"/>
      <c r="D31" s="24">
        <v>1439.68</v>
      </c>
      <c r="E31" s="24">
        <v>225.38</v>
      </c>
      <c r="F31" s="24">
        <v>852.13</v>
      </c>
      <c r="G31" s="24">
        <v>2517.19</v>
      </c>
    </row>
    <row r="32" ht="22.5" customHeight="1">
      <c r="B32" s="30"/>
      <c r="C32" s="30"/>
      <c r="D32" s="24"/>
      <c r="E32" s="24"/>
      <c r="F32" s="24"/>
      <c r="G32" s="24"/>
    </row>
    <row r="33" ht="22.5" customHeight="1">
      <c r="B33" s="30" t="s">
        <v>692</v>
      </c>
      <c r="C33" s="30"/>
      <c r="D33" s="24">
        <v>7.0</v>
      </c>
      <c r="E33" s="24">
        <v>2.0</v>
      </c>
      <c r="F33" s="24">
        <v>2.0</v>
      </c>
      <c r="G33" s="24">
        <v>11.0</v>
      </c>
    </row>
    <row r="34" ht="22.5" customHeight="1">
      <c r="B34" s="30" t="s">
        <v>430</v>
      </c>
      <c r="C34" s="30"/>
      <c r="D34" s="24">
        <v>378.0</v>
      </c>
      <c r="E34" s="24">
        <v>228.65</v>
      </c>
      <c r="F34" s="24">
        <v>217.0</v>
      </c>
      <c r="G34" s="24">
        <v>823.65</v>
      </c>
    </row>
    <row r="35" ht="22.5" customHeight="1">
      <c r="B35" s="30" t="s">
        <v>693</v>
      </c>
      <c r="C35" s="30"/>
      <c r="D35" s="38">
        <v>0.2258</v>
      </c>
      <c r="E35" s="38">
        <v>0.5</v>
      </c>
      <c r="F35" s="38">
        <v>0.1053</v>
      </c>
      <c r="G35" s="38">
        <v>0.2037</v>
      </c>
    </row>
    <row r="36" ht="22.5" customHeight="1">
      <c r="B36" s="30"/>
      <c r="C36" s="30"/>
      <c r="D36" s="24"/>
      <c r="E36" s="24"/>
      <c r="F36" s="24"/>
      <c r="G36" s="24"/>
    </row>
    <row r="37" ht="22.5" customHeight="1">
      <c r="B37" s="30" t="s">
        <v>694</v>
      </c>
      <c r="C37" s="30"/>
      <c r="D37" s="24">
        <v>1817.68</v>
      </c>
      <c r="E37" s="24">
        <v>454.03</v>
      </c>
      <c r="F37" s="24">
        <v>1069.13</v>
      </c>
      <c r="G37" s="24">
        <v>3340.84</v>
      </c>
    </row>
    <row r="38" ht="22.5" customHeight="1">
      <c r="B38" s="30" t="s">
        <v>695</v>
      </c>
      <c r="C38" s="30"/>
      <c r="D38" s="24">
        <v>31.0</v>
      </c>
      <c r="E38" s="24">
        <v>4.0</v>
      </c>
      <c r="F38" s="24">
        <v>19.0</v>
      </c>
      <c r="G38" s="24">
        <v>54.0</v>
      </c>
    </row>
    <row r="39" ht="22.5" customHeight="1">
      <c r="B39" s="30"/>
      <c r="C39" s="30"/>
      <c r="D39" s="24"/>
      <c r="E39" s="24"/>
      <c r="F39" s="24"/>
      <c r="G39" s="24"/>
    </row>
    <row r="40" ht="22.5" customHeight="1">
      <c r="B40" s="30" t="s">
        <v>689</v>
      </c>
      <c r="C40" s="30" t="s">
        <v>482</v>
      </c>
      <c r="D40" s="24">
        <v>7.0</v>
      </c>
      <c r="E40" s="24">
        <v>10.0</v>
      </c>
      <c r="F40" s="24">
        <v>4.0</v>
      </c>
      <c r="G40" s="24">
        <v>21.0</v>
      </c>
    </row>
    <row r="41" ht="22.5" customHeight="1">
      <c r="B41" s="30" t="s">
        <v>690</v>
      </c>
      <c r="C41" s="30"/>
      <c r="D41" s="24">
        <v>11800.0</v>
      </c>
      <c r="E41" s="24">
        <v>16050.0</v>
      </c>
      <c r="F41" s="24">
        <v>6250.0</v>
      </c>
      <c r="G41" s="24">
        <v>34100.0</v>
      </c>
    </row>
    <row r="42" ht="22.5" customHeight="1">
      <c r="B42" s="30" t="s">
        <v>691</v>
      </c>
      <c r="C42" s="30"/>
      <c r="D42" s="24">
        <v>4000.0</v>
      </c>
      <c r="E42" s="24">
        <v>4050.0</v>
      </c>
      <c r="F42" s="24">
        <v>1550.0</v>
      </c>
      <c r="G42" s="24">
        <v>9600.0</v>
      </c>
    </row>
    <row r="43" ht="22.5" customHeight="1">
      <c r="B43" s="30" t="s">
        <v>429</v>
      </c>
      <c r="C43" s="30"/>
      <c r="D43" s="24">
        <v>902.52</v>
      </c>
      <c r="E43" s="24">
        <v>923.14</v>
      </c>
      <c r="F43" s="24">
        <v>323.63</v>
      </c>
      <c r="G43" s="24">
        <v>2149.29</v>
      </c>
    </row>
    <row r="44" ht="22.5" customHeight="1">
      <c r="B44" s="30"/>
      <c r="C44" s="30"/>
      <c r="D44" s="24"/>
      <c r="E44" s="24"/>
      <c r="F44" s="24"/>
      <c r="G44" s="24"/>
    </row>
    <row r="45" ht="22.5" customHeight="1">
      <c r="B45" s="30" t="s">
        <v>692</v>
      </c>
      <c r="C45" s="30"/>
      <c r="D45" s="24">
        <v>3.0</v>
      </c>
      <c r="E45" s="24">
        <v>0.0</v>
      </c>
      <c r="F45" s="24">
        <v>0.0</v>
      </c>
      <c r="G45" s="24">
        <v>3.0</v>
      </c>
    </row>
    <row r="46" ht="22.5" customHeight="1">
      <c r="B46" s="30" t="s">
        <v>430</v>
      </c>
      <c r="C46" s="30"/>
      <c r="D46" s="24">
        <v>356.15</v>
      </c>
      <c r="E46" s="24">
        <v>0.0</v>
      </c>
      <c r="F46" s="24">
        <v>0.0</v>
      </c>
      <c r="G46" s="24">
        <v>356.15</v>
      </c>
    </row>
    <row r="47" ht="22.5" customHeight="1">
      <c r="B47" s="30" t="s">
        <v>693</v>
      </c>
      <c r="C47" s="30"/>
      <c r="D47" s="38">
        <v>0.3</v>
      </c>
      <c r="E47" s="38">
        <v>0.0</v>
      </c>
      <c r="F47" s="38">
        <v>0.0</v>
      </c>
      <c r="G47" s="38">
        <v>0.125</v>
      </c>
    </row>
    <row r="48" ht="22.5" customHeight="1">
      <c r="B48" s="30"/>
      <c r="C48" s="30"/>
      <c r="D48" s="24"/>
      <c r="E48" s="24"/>
      <c r="F48" s="24"/>
      <c r="G48" s="24"/>
    </row>
    <row r="49" ht="22.5" customHeight="1">
      <c r="B49" s="30" t="s">
        <v>694</v>
      </c>
      <c r="C49" s="30"/>
      <c r="D49" s="24">
        <v>1258.67</v>
      </c>
      <c r="E49" s="24">
        <v>923.14</v>
      </c>
      <c r="F49" s="24">
        <v>323.63</v>
      </c>
      <c r="G49" s="24">
        <v>2505.44</v>
      </c>
    </row>
    <row r="50" ht="22.5" customHeight="1">
      <c r="B50" s="30" t="s">
        <v>695</v>
      </c>
      <c r="C50" s="30"/>
      <c r="D50" s="24">
        <v>10.0</v>
      </c>
      <c r="E50" s="24">
        <v>10.0</v>
      </c>
      <c r="F50" s="24">
        <v>4.0</v>
      </c>
      <c r="G50" s="24">
        <v>24.0</v>
      </c>
    </row>
    <row r="51" ht="22.5" customHeight="1">
      <c r="B51" s="30"/>
      <c r="C51" s="30"/>
      <c r="D51" s="24"/>
      <c r="E51" s="24"/>
      <c r="F51" s="24"/>
      <c r="G51" s="24"/>
    </row>
    <row r="52" ht="22.5" customHeight="1">
      <c r="B52" s="30" t="s">
        <v>689</v>
      </c>
      <c r="C52" s="30" t="s">
        <v>498</v>
      </c>
      <c r="D52" s="24">
        <v>0.0</v>
      </c>
      <c r="E52" s="24">
        <v>10.0</v>
      </c>
      <c r="F52" s="24">
        <v>8.0</v>
      </c>
      <c r="G52" s="24">
        <v>18.0</v>
      </c>
    </row>
    <row r="53" ht="22.5" customHeight="1">
      <c r="B53" s="30" t="s">
        <v>690</v>
      </c>
      <c r="C53" s="30"/>
      <c r="D53" s="24">
        <v>0.0</v>
      </c>
      <c r="E53" s="24">
        <v>14450.0</v>
      </c>
      <c r="F53" s="24">
        <v>13150.0</v>
      </c>
      <c r="G53" s="24">
        <v>27600.0</v>
      </c>
    </row>
    <row r="54" ht="22.5" customHeight="1">
      <c r="B54" s="30" t="s">
        <v>691</v>
      </c>
      <c r="C54" s="30"/>
      <c r="D54" s="24">
        <v>0.0</v>
      </c>
      <c r="E54" s="24">
        <v>4750.0</v>
      </c>
      <c r="F54" s="24">
        <v>3550.0</v>
      </c>
      <c r="G54" s="24">
        <v>8300.0</v>
      </c>
    </row>
    <row r="55" ht="22.5" customHeight="1">
      <c r="B55" s="30" t="s">
        <v>429</v>
      </c>
      <c r="C55" s="30"/>
      <c r="D55" s="24">
        <v>0.0</v>
      </c>
      <c r="E55" s="24">
        <v>1378.15</v>
      </c>
      <c r="F55" s="24">
        <v>986.89</v>
      </c>
      <c r="G55" s="24">
        <v>2365.04</v>
      </c>
    </row>
    <row r="56" ht="22.5" customHeight="1">
      <c r="B56" s="30"/>
      <c r="C56" s="30"/>
      <c r="D56" s="24"/>
      <c r="E56" s="24"/>
      <c r="F56" s="24"/>
      <c r="G56" s="24"/>
    </row>
    <row r="57" ht="22.5" customHeight="1">
      <c r="B57" s="30" t="s">
        <v>692</v>
      </c>
      <c r="C57" s="30"/>
      <c r="D57" s="24">
        <v>0.0</v>
      </c>
      <c r="E57" s="24">
        <v>3.0</v>
      </c>
      <c r="F57" s="24">
        <v>1.0</v>
      </c>
      <c r="G57" s="24">
        <v>4.0</v>
      </c>
    </row>
    <row r="58" ht="22.5" customHeight="1">
      <c r="B58" s="30" t="s">
        <v>430</v>
      </c>
      <c r="C58" s="30"/>
      <c r="D58" s="24">
        <v>0.0</v>
      </c>
      <c r="E58" s="24">
        <v>295.8</v>
      </c>
      <c r="F58" s="24">
        <v>187.0</v>
      </c>
      <c r="G58" s="24">
        <v>482.8</v>
      </c>
    </row>
    <row r="59" ht="22.5" customHeight="1">
      <c r="B59" s="30" t="s">
        <v>693</v>
      </c>
      <c r="C59" s="30"/>
      <c r="D59" s="38">
        <v>0.0</v>
      </c>
      <c r="E59" s="38">
        <v>0.2308</v>
      </c>
      <c r="F59" s="38">
        <v>0.1111</v>
      </c>
      <c r="G59" s="38">
        <v>0.1818</v>
      </c>
    </row>
    <row r="60" ht="22.5" customHeight="1">
      <c r="B60" s="30"/>
      <c r="C60" s="30"/>
      <c r="D60" s="24"/>
      <c r="E60" s="24"/>
      <c r="F60" s="24"/>
      <c r="G60" s="24"/>
    </row>
    <row r="61" ht="22.5" customHeight="1">
      <c r="B61" s="30" t="s">
        <v>694</v>
      </c>
      <c r="C61" s="30"/>
      <c r="D61" s="24">
        <v>0.0</v>
      </c>
      <c r="E61" s="24">
        <v>1673.95</v>
      </c>
      <c r="F61" s="24">
        <v>1173.89</v>
      </c>
      <c r="G61" s="24">
        <v>2847.84</v>
      </c>
    </row>
    <row r="62" ht="22.5" customHeight="1">
      <c r="B62" s="30" t="s">
        <v>695</v>
      </c>
      <c r="C62" s="30"/>
      <c r="D62" s="24">
        <v>0.0</v>
      </c>
      <c r="E62" s="24">
        <v>13.0</v>
      </c>
      <c r="F62" s="24">
        <v>9.0</v>
      </c>
      <c r="G62" s="24">
        <v>22.0</v>
      </c>
    </row>
    <row r="63" ht="22.5" customHeight="1">
      <c r="B63" s="30"/>
      <c r="C63" s="30"/>
      <c r="D63" s="24"/>
      <c r="E63" s="24"/>
      <c r="F63" s="24"/>
      <c r="G63" s="24"/>
    </row>
    <row r="64" ht="22.5" customHeight="1">
      <c r="B64" s="30" t="s">
        <v>689</v>
      </c>
      <c r="C64" s="30" t="s">
        <v>499</v>
      </c>
      <c r="D64" s="24">
        <v>0.0</v>
      </c>
      <c r="E64" s="24">
        <v>0.0</v>
      </c>
      <c r="F64" s="24">
        <v>1.0</v>
      </c>
      <c r="G64" s="24">
        <v>1.0</v>
      </c>
    </row>
    <row r="65" ht="22.5" customHeight="1">
      <c r="B65" s="30" t="s">
        <v>690</v>
      </c>
      <c r="C65" s="30"/>
      <c r="D65" s="24">
        <v>0.0</v>
      </c>
      <c r="E65" s="24">
        <v>0.0</v>
      </c>
      <c r="F65" s="24">
        <v>1300.0</v>
      </c>
      <c r="G65" s="24">
        <v>1300.0</v>
      </c>
    </row>
    <row r="66" ht="22.5" customHeight="1">
      <c r="B66" s="30" t="s">
        <v>691</v>
      </c>
      <c r="C66" s="30"/>
      <c r="D66" s="24">
        <v>0.0</v>
      </c>
      <c r="E66" s="24">
        <v>0.0</v>
      </c>
      <c r="F66" s="24">
        <v>0.0</v>
      </c>
      <c r="G66" s="24">
        <v>0.0</v>
      </c>
    </row>
    <row r="67" ht="22.5" customHeight="1">
      <c r="B67" s="30" t="s">
        <v>429</v>
      </c>
      <c r="C67" s="30"/>
      <c r="D67" s="24">
        <v>0.0</v>
      </c>
      <c r="E67" s="24">
        <v>0.0</v>
      </c>
      <c r="F67" s="24">
        <v>82.25</v>
      </c>
      <c r="G67" s="24">
        <v>82.25</v>
      </c>
    </row>
    <row r="68" ht="22.5" customHeight="1">
      <c r="B68" s="30"/>
      <c r="C68" s="30"/>
      <c r="D68" s="24"/>
      <c r="E68" s="24"/>
      <c r="F68" s="24"/>
      <c r="G68" s="24"/>
    </row>
    <row r="69" ht="22.5" customHeight="1">
      <c r="B69" s="30" t="s">
        <v>692</v>
      </c>
      <c r="C69" s="30"/>
      <c r="D69" s="24">
        <v>0.0</v>
      </c>
      <c r="E69" s="24">
        <v>0.0</v>
      </c>
      <c r="F69" s="24">
        <v>3.0</v>
      </c>
      <c r="G69" s="24">
        <v>3.0</v>
      </c>
    </row>
    <row r="70" ht="22.5" customHeight="1">
      <c r="B70" s="30" t="s">
        <v>430</v>
      </c>
      <c r="C70" s="30"/>
      <c r="D70" s="24">
        <v>0.0</v>
      </c>
      <c r="E70" s="24">
        <v>0.0</v>
      </c>
      <c r="F70" s="24">
        <v>441.15</v>
      </c>
      <c r="G70" s="24">
        <v>441.15</v>
      </c>
    </row>
    <row r="71" ht="22.5" customHeight="1">
      <c r="B71" s="30" t="s">
        <v>693</v>
      </c>
      <c r="C71" s="30"/>
      <c r="D71" s="38">
        <v>0.0</v>
      </c>
      <c r="E71" s="38">
        <v>0.0</v>
      </c>
      <c r="F71" s="38">
        <v>0.75</v>
      </c>
      <c r="G71" s="38">
        <v>0.75</v>
      </c>
    </row>
    <row r="72" ht="22.5" customHeight="1">
      <c r="B72" s="30"/>
      <c r="C72" s="30"/>
      <c r="D72" s="24"/>
      <c r="E72" s="24"/>
      <c r="F72" s="24"/>
      <c r="G72" s="24"/>
    </row>
    <row r="73" ht="22.5" customHeight="1">
      <c r="B73" s="30" t="s">
        <v>694</v>
      </c>
      <c r="C73" s="30"/>
      <c r="D73" s="24">
        <v>0.0</v>
      </c>
      <c r="E73" s="24">
        <v>0.0</v>
      </c>
      <c r="F73" s="24">
        <v>523.4</v>
      </c>
      <c r="G73" s="24">
        <v>523.4</v>
      </c>
    </row>
    <row r="74" ht="22.5" customHeight="1">
      <c r="B74" s="30" t="s">
        <v>695</v>
      </c>
      <c r="C74" s="30"/>
      <c r="D74" s="24">
        <v>0.0</v>
      </c>
      <c r="E74" s="24">
        <v>0.0</v>
      </c>
      <c r="F74" s="24">
        <v>4.0</v>
      </c>
      <c r="G74" s="24">
        <v>4.0</v>
      </c>
    </row>
    <row r="75" ht="22.5" customHeight="1">
      <c r="B75" s="30"/>
      <c r="C75" s="30"/>
      <c r="D75" s="24"/>
      <c r="E75" s="24"/>
      <c r="F75" s="24"/>
      <c r="G75" s="24"/>
    </row>
    <row r="76" ht="22.5" customHeight="1">
      <c r="B76" s="30" t="s">
        <v>689</v>
      </c>
      <c r="C76" s="30" t="s">
        <v>492</v>
      </c>
      <c r="D76" s="24">
        <v>0.0</v>
      </c>
      <c r="E76" s="24">
        <v>1.0</v>
      </c>
      <c r="F76" s="24">
        <v>3.0</v>
      </c>
      <c r="G76" s="24">
        <v>4.0</v>
      </c>
    </row>
    <row r="77" ht="22.5" customHeight="1">
      <c r="B77" s="30" t="s">
        <v>690</v>
      </c>
      <c r="C77" s="30"/>
      <c r="D77" s="24">
        <v>0.0</v>
      </c>
      <c r="E77" s="24">
        <v>1350.0</v>
      </c>
      <c r="F77" s="24">
        <v>4150.0</v>
      </c>
      <c r="G77" s="24">
        <v>5500.0</v>
      </c>
    </row>
    <row r="78" ht="22.5" customHeight="1">
      <c r="B78" s="30" t="s">
        <v>691</v>
      </c>
      <c r="C78" s="30"/>
      <c r="D78" s="24">
        <v>0.0</v>
      </c>
      <c r="E78" s="24">
        <v>350.0</v>
      </c>
      <c r="F78" s="24">
        <v>1450.0</v>
      </c>
      <c r="G78" s="24">
        <v>1800.0</v>
      </c>
    </row>
    <row r="79" ht="22.5" customHeight="1">
      <c r="B79" s="30" t="s">
        <v>429</v>
      </c>
      <c r="C79" s="30"/>
      <c r="D79" s="24">
        <v>0.0</v>
      </c>
      <c r="E79" s="24">
        <v>182.38</v>
      </c>
      <c r="F79" s="24">
        <v>577.39</v>
      </c>
      <c r="G79" s="24">
        <v>759.77</v>
      </c>
    </row>
    <row r="80" ht="22.5" customHeight="1">
      <c r="B80" s="30"/>
      <c r="C80" s="30"/>
      <c r="D80" s="24"/>
      <c r="E80" s="24"/>
      <c r="F80" s="24"/>
      <c r="G80" s="24"/>
    </row>
    <row r="81" ht="22.5" customHeight="1">
      <c r="B81" s="30" t="s">
        <v>692</v>
      </c>
      <c r="C81" s="30"/>
      <c r="D81" s="24">
        <v>0.0</v>
      </c>
      <c r="E81" s="24">
        <v>0.0</v>
      </c>
      <c r="F81" s="24">
        <v>2.0</v>
      </c>
      <c r="G81" s="24">
        <v>2.0</v>
      </c>
    </row>
    <row r="82" ht="22.5" customHeight="1">
      <c r="B82" s="30" t="s">
        <v>430</v>
      </c>
      <c r="C82" s="30"/>
      <c r="D82" s="24">
        <v>0.0</v>
      </c>
      <c r="E82" s="24">
        <v>0.0</v>
      </c>
      <c r="F82" s="24">
        <v>374.0</v>
      </c>
      <c r="G82" s="24">
        <v>374.0</v>
      </c>
    </row>
    <row r="83" ht="22.5" customHeight="1">
      <c r="B83" s="30" t="s">
        <v>693</v>
      </c>
      <c r="C83" s="30"/>
      <c r="D83" s="38">
        <v>0.0</v>
      </c>
      <c r="E83" s="38">
        <v>0.0</v>
      </c>
      <c r="F83" s="38">
        <v>0.4</v>
      </c>
      <c r="G83" s="38">
        <v>0.3333</v>
      </c>
    </row>
    <row r="84" ht="22.5" customHeight="1">
      <c r="B84" s="30"/>
      <c r="C84" s="30"/>
      <c r="D84" s="24"/>
      <c r="E84" s="24"/>
      <c r="F84" s="24"/>
      <c r="G84" s="24"/>
    </row>
    <row r="85" ht="22.5" customHeight="1">
      <c r="B85" s="30" t="s">
        <v>694</v>
      </c>
      <c r="C85" s="30"/>
      <c r="D85" s="24">
        <v>0.0</v>
      </c>
      <c r="E85" s="24">
        <v>182.38</v>
      </c>
      <c r="F85" s="24">
        <v>951.39</v>
      </c>
      <c r="G85" s="24">
        <v>1133.77</v>
      </c>
    </row>
    <row r="86" ht="22.5" customHeight="1">
      <c r="B86" s="30" t="s">
        <v>695</v>
      </c>
      <c r="C86" s="30"/>
      <c r="D86" s="24">
        <v>0.0</v>
      </c>
      <c r="E86" s="24">
        <v>1.0</v>
      </c>
      <c r="F86" s="24">
        <v>5.0</v>
      </c>
      <c r="G86" s="24">
        <v>6.0</v>
      </c>
    </row>
  </sheetData>
  <dataValidations>
    <dataValidation type="list" allowBlank="1" sqref="B4:B86">
      <formula1>"Delivered no. of order,revenue,profit,D fee,Returned no. of order,R fee,return rate,total fee,total order,Delivered no. of order,revenue,profit,D fee,Returned no. of order,R fee,return rate,total fee,total order,Delivered no. of order,revenue,profit,D fee"&amp;",Returned no. of order,R fee,return rate,total fee,total order,Delivered no. of order,revenue,profit,D fee,Returned no. of order,R fee,return rate,total fee,total order,Delivered no. of order,revenue,profit,D fee,Returned no. of order,R fee,return rate,to"&amp;"tal fee,total order,Delivered no. of order,revenue,profit,D fee,Returned no. of order,R fee,return rate,total fee,total order,Delivered no. of order,revenue,profit,D fee,Returned no. of order,R fee,return rate,total fee,total order"</formula1>
    </dataValidation>
    <dataValidation type="list" allowBlank="1" sqref="C4:C86">
      <formula1>"Koshi,Madhesh,Bagmati,Gandaki,Lumbini,Karnali,Sudurpashchim"</formula1>
    </dataValidation>
  </dataValidations>
  <drawing r:id="rId1"/>
  <tableParts count="1">
    <tablePart r:id="rId3"/>
  </tableParts>
</worksheet>
</file>