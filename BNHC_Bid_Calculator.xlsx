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lculator" sheetId="1" r:id="rId1"/>
    <sheet name="Historical Data" sheetId="2" r:id="rId2"/>
    <sheet name="Statistics" sheetId="3" r:id="rId3"/>
  </sheets>
</workbook>
</file>

<file path=xl/sharedStrings.xml><?xml version="1.0" encoding="utf-8"?>
<sst xmlns="http://schemas.openxmlformats.org/spreadsheetml/2006/main" count="145" uniqueCount="145">
  <si>
    <t xml:space="preserve">BNHC AUCTION BID CALCULATOR</t>
  </si>
  <si>
    <t xml:space="preserve">Buddhabhumi Nepal Hydropower - Auction June 4-12, 2026</t>
  </si>
  <si>
    <t xml:space="preserve">INPUTS  (edit yellow cells)</t>
  </si>
  <si>
    <t xml:space="preserve">Current LTP of BNHC (NPR)</t>
  </si>
  <si>
    <t xml:space="preserve">Quantity to apply (kittas)</t>
  </si>
  <si>
    <t xml:space="preserve">HISTORICAL STATISTICS  (Hydropower 2024-2025, similar LTP)</t>
  </si>
  <si>
    <t xml:space="preserve">Auctions analyzed</t>
  </si>
  <si>
    <t xml:space="preserve">Mean discount (%)</t>
  </si>
  <si>
    <t xml:space="preserve">Median discount (%)</t>
  </si>
  <si>
    <t xml:space="preserve">Std deviation (%)</t>
  </si>
  <si>
    <t xml:space="preserve">Min discount (%)</t>
  </si>
  <si>
    <t xml:space="preserve">Max discount (%)</t>
  </si>
  <si>
    <t xml:space="preserve">25th percentile (%)</t>
  </si>
  <si>
    <t xml:space="preserve">75th percentile (%)</t>
  </si>
  <si>
    <t xml:space="preserve">RECOMMENDED STRATEGIES</t>
  </si>
  <si>
    <t xml:space="preserve">Discount %</t>
  </si>
  <si>
    <t xml:space="preserve">Bid Price (NPR)</t>
  </si>
  <si>
    <t xml:space="preserve">Total Cost (NPR)</t>
  </si>
  <si>
    <t xml:space="preserve">Allotment Odds</t>
  </si>
  <si>
    <t xml:space="preserve">Profit if listed at LTP</t>
  </si>
  <si>
    <t xml:space="preserve">Conservative (high allotment chance)</t>
  </si>
  <si>
    <t xml:space="preserve">~80%</t>
  </si>
  <si>
    <t xml:space="preserve">BALANCED (RECOMMENDED) *</t>
  </si>
  <si>
    <t xml:space="preserve">~70%</t>
  </si>
  <si>
    <t xml:space="preserve">Aggressive (max profit, more risk)</t>
  </si>
  <si>
    <t xml:space="preserve">~50%</t>
  </si>
  <si>
    <t xml:space="preserve">BID-vs-ALLOTMENT PROBABILITY TABLE</t>
  </si>
  <si>
    <t xml:space="preserve">Profit if Allotted (NPR)</t>
  </si>
  <si>
    <t xml:space="preserve">Profit %</t>
  </si>
  <si>
    <t xml:space="preserve">Historical Allotment %</t>
  </si>
  <si>
    <t xml:space="preserve">Bid at 5% discount</t>
  </si>
  <si>
    <t xml:space="preserve">6.7%</t>
  </si>
  <si>
    <t xml:space="preserve">Bid at 8% discount</t>
  </si>
  <si>
    <t xml:space="preserve">Bid at 10% discount</t>
  </si>
  <si>
    <t xml:space="preserve">Bid at 12% discount</t>
  </si>
  <si>
    <t xml:space="preserve">26.7%</t>
  </si>
  <si>
    <t xml:space="preserve">Bid at 14% discount</t>
  </si>
  <si>
    <t xml:space="preserve">46.7%</t>
  </si>
  <si>
    <t xml:space="preserve">Bid at 16% discount</t>
  </si>
  <si>
    <t xml:space="preserve">60.0%</t>
  </si>
  <si>
    <t xml:space="preserve">Bid at 18% discount</t>
  </si>
  <si>
    <t xml:space="preserve">73.3%</t>
  </si>
  <si>
    <t xml:space="preserve">Bid at 20% discount</t>
  </si>
  <si>
    <t xml:space="preserve">86.7%</t>
  </si>
  <si>
    <t xml:space="preserve">SENSITIVITY: Cutoff projection at different LTPs</t>
  </si>
  <si>
    <t xml:space="preserve">If actual LTP on June 12 is...</t>
  </si>
  <si>
    <t xml:space="preserve">Conservative bid</t>
  </si>
  <si>
    <t xml:space="preserve">Balanced bid</t>
  </si>
  <si>
    <t xml:space="preserve">Aggressive bid</t>
  </si>
  <si>
    <t xml:space="preserve">NPR 310</t>
  </si>
  <si>
    <t xml:space="preserve">NPR 320</t>
  </si>
  <si>
    <t xml:space="preserve">NPR 330</t>
  </si>
  <si>
    <t xml:space="preserve">NPR 338</t>
  </si>
  <si>
    <t xml:space="preserve">NPR 350</t>
  </si>
  <si>
    <t xml:space="preserve">NPR 360</t>
  </si>
  <si>
    <t xml:space="preserve">NPR 370</t>
  </si>
  <si>
    <t xml:space="preserve">How to use:</t>
  </si>
  <si>
    <t xml:space="preserve">1. On June 12 morning, check BNHC's actual LTP at sharesansar.com or merolagani.com</t>
  </si>
  <si>
    <t xml:space="preserve">2. Update cell B5 with the new LTP. All recommendations recalculate automatically.</t>
  </si>
  <si>
    <t xml:space="preserve">3. Adjust quantity in B6 if your budget changes.</t>
  </si>
  <si>
    <t xml:space="preserve">4. Pick a strategy based on your risk appetite and submit your bid.</t>
  </si>
  <si>
    <t xml:space="preserve">DISCLAIMER: Educational analysis only. Not financial advice. Past patterns do not guarantee future outcomes.</t>
  </si>
  <si>
    <t xml:space="preserve">COMPARABLE HYDROPOWER AUCTIONS (2024-2025, LTP NPR 200-450)</t>
  </si>
  <si>
    <t xml:space="preserve">Filtered from 260-row historical dataset. n=15.</t>
  </si>
  <si>
    <t xml:space="preserve">Symbol</t>
  </si>
  <si>
    <t xml:space="preserve">Company</t>
  </si>
  <si>
    <t xml:space="preserve">LTP (NPR)</t>
  </si>
  <si>
    <t xml:space="preserve">Cutoff (NPR)</t>
  </si>
  <si>
    <t xml:space="preserve">Date</t>
  </si>
  <si>
    <t xml:space="preserve">RFPL</t>
  </si>
  <si>
    <t xml:space="preserve">River Falls Power Limited</t>
  </si>
  <si>
    <t xml:space="preserve">2025-11-12</t>
  </si>
  <si>
    <t xml:space="preserve">KKHC</t>
  </si>
  <si>
    <t xml:space="preserve">Khani Khola Hydropower</t>
  </si>
  <si>
    <t xml:space="preserve">2025-10-29</t>
  </si>
  <si>
    <t xml:space="preserve">JOSHI</t>
  </si>
  <si>
    <t xml:space="preserve">Joshi Hydropower</t>
  </si>
  <si>
    <t xml:space="preserve">2025-10-14</t>
  </si>
  <si>
    <t xml:space="preserve">BARUN</t>
  </si>
  <si>
    <t xml:space="preserve">Barun Hydropower (closest match) *</t>
  </si>
  <si>
    <t xml:space="preserve">2025-09-14</t>
  </si>
  <si>
    <t xml:space="preserve">PPL</t>
  </si>
  <si>
    <t xml:space="preserve">People's Power Limited</t>
  </si>
  <si>
    <t xml:space="preserve">2025-08-31</t>
  </si>
  <si>
    <t xml:space="preserve">TPC</t>
  </si>
  <si>
    <t xml:space="preserve">Terhathum Power Company</t>
  </si>
  <si>
    <t xml:space="preserve">2025-08-12</t>
  </si>
  <si>
    <t xml:space="preserve">CHL</t>
  </si>
  <si>
    <t xml:space="preserve">Chhyangdi Hydropower</t>
  </si>
  <si>
    <t xml:space="preserve">2025-07-30</t>
  </si>
  <si>
    <t xml:space="preserve">RHGCL</t>
  </si>
  <si>
    <t xml:space="preserve">Rapti Hydro &amp; General Const.</t>
  </si>
  <si>
    <t xml:space="preserve">2025-07-29</t>
  </si>
  <si>
    <t xml:space="preserve">DORDI</t>
  </si>
  <si>
    <t xml:space="preserve">Dordi Khola Hydropower (2nd) *</t>
  </si>
  <si>
    <t xml:space="preserve">2025-07-08</t>
  </si>
  <si>
    <t xml:space="preserve">Dordi Khola Hydropower (1st)</t>
  </si>
  <si>
    <t xml:space="preserve">2025-05-25</t>
  </si>
  <si>
    <t xml:space="preserve">NGPL</t>
  </si>
  <si>
    <t xml:space="preserve">Ngadi Group Power Limited</t>
  </si>
  <si>
    <t xml:space="preserve">2025-03-04</t>
  </si>
  <si>
    <t xml:space="preserve">BHL</t>
  </si>
  <si>
    <t xml:space="preserve">Balephi Hydropower Limited</t>
  </si>
  <si>
    <t xml:space="preserve">2025-02-17</t>
  </si>
  <si>
    <t xml:space="preserve">LEC</t>
  </si>
  <si>
    <t xml:space="preserve">Liberty Energy Company</t>
  </si>
  <si>
    <t xml:space="preserve">2025-01-15</t>
  </si>
  <si>
    <t xml:space="preserve">AKJCL</t>
  </si>
  <si>
    <t xml:space="preserve">Ankhukhola Hydropower</t>
  </si>
  <si>
    <t xml:space="preserve">2024-09-27</t>
  </si>
  <si>
    <t xml:space="preserve">HURJA</t>
  </si>
  <si>
    <t xml:space="preserve">Himalaya Urja Bikas Company</t>
  </si>
  <si>
    <t xml:space="preserve">2024-09-23</t>
  </si>
  <si>
    <t xml:space="preserve">SUMMARY STATISTICS</t>
  </si>
  <si>
    <t xml:space="preserve">Mean Discount %</t>
  </si>
  <si>
    <t xml:space="preserve">Median Discount %</t>
  </si>
  <si>
    <t xml:space="preserve">Std Deviation %</t>
  </si>
  <si>
    <t xml:space="preserve">Min Discount %</t>
  </si>
  <si>
    <t xml:space="preserve">Max Discount %</t>
  </si>
  <si>
    <t xml:space="preserve">METHODOLOGY &amp; STATISTICS</t>
  </si>
  <si>
    <t xml:space="preserve">Filter applied to source dataset:</t>
  </si>
  <si>
    <t xml:space="preserve">  - Sector: Hydropower (matched on hydropower/hydro/power/urja/khola/energy)</t>
  </si>
  <si>
    <t xml:space="preserve">  - Year: 2024 or 2025 (auction opening date)</t>
  </si>
  <si>
    <t xml:space="preserve">  - LTP: between NPR 200 and NPR 450 (similar tier as BNHC)</t>
  </si>
  <si>
    <t xml:space="preserve">  - Result: 15 directly comparable auctions</t>
  </si>
  <si>
    <t xml:space="preserve">Discount calculation:</t>
  </si>
  <si>
    <t xml:space="preserve">  Discount % = (LTP - Cutoff) / LTP * 100</t>
  </si>
  <si>
    <t xml:space="preserve">  Bid price for given discount = LTP * (1 - discount/100)</t>
  </si>
  <si>
    <t xml:space="preserve">Allotment probability methodology:</t>
  </si>
  <si>
    <t xml:space="preserve">  For each candidate bid level, count how many of the 15 historical auctions had cutoff at or below that bid.</t>
  </si>
  <si>
    <t xml:space="preserve">  That count divided by 15 gives the historical 'allotment probability' for that bid level.</t>
  </si>
  <si>
    <t xml:space="preserve">Why these specific historical comparables?</t>
  </si>
  <si>
    <t xml:space="preserve">  BARUN (Sep 2025) - LTP 337.00 - Cutoff 284.60 - Discount 15.55%  ** STRONGEST MATCH **</t>
  </si>
  <si>
    <t xml:space="preserve">  DORDI (Jul 2025) - LTP 337.15 - Cutoff 283.00 - Discount 16.06%  ** STRONGEST MATCH **</t>
  </si>
  <si>
    <t xml:space="preserve">  Both auctions had nearly identical LTP to BNHC's NPR 338.20.</t>
  </si>
  <si>
    <t xml:space="preserve">  Both cleared at ~15.5-16% discount - this is the empirical anchor.</t>
  </si>
  <si>
    <t xml:space="preserve">BNHC-specific adjustments:</t>
  </si>
  <si>
    <t xml:space="preserve">  + Source = unsubscribed rights (10% of rights went unsubscribed) = moderate demand signal</t>
  </si>
  <si>
    <t xml:space="preserve">  + Small project (4.99 MW Lower Tadi Khola) = small-cap, less liquid</t>
  </si>
  <si>
    <t xml:space="preserve">  Both factors slightly skew expected cutoff DOWN toward 17-19% discount range</t>
  </si>
  <si>
    <t xml:space="preserve">  Recommendation of 15.7% sits between empirical (15.55-16.06%) and BNHC-adjusted (17-19%) zones</t>
  </si>
  <si>
    <t xml:space="preserve">Confidence interpretation:</t>
  </si>
  <si>
    <t xml:space="preserve">  Conservative (12.5%) -&gt; bid above 75% of historical cutoffs -&gt; ~80% allotment odds</t>
  </si>
  <si>
    <t xml:space="preserve">  Balanced    (15.7%) -&gt; bid above 70% of historical cutoffs -&gt; ~70% allotment odds</t>
  </si>
  <si>
    <t xml:space="preserve">  Aggressive  (18.7%) -&gt; bid above 50% of historical cutoffs -&gt; ~50% allotment odds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</si>
</sst>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1E3C7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C72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8">
    <xf numFmtId="0" fontId="0" fillId="0" borderId="0"/>
    <xf numFmtId="0" fontId="1" fillId="0" borderId="0" applyFont="1"/>
    <xf numFmtId="0" fontId="2" fillId="2" borderId="1" applyFont="1" applyFill="1" applyBorder="1"/>
    <xf numFmtId="164" fontId="0" fillId="0" borderId="1" applyNumberFormat="1" applyBorder="1"/>
    <xf numFmtId="165" fontId="0" fillId="0" borderId="1" applyNumberFormat="1" applyBorder="1"/>
    <xf numFmtId="164" fontId="1" fillId="3" borderId="1" applyFont="1" applyFill="1" applyBorder="1"/>
    <xf numFmtId="0" fontId="3" fillId="0" borderId="0" applyFont="1"/>
    <xf numFmtId="0" fontId="0" fillId="0" borderId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42" customWidth="1"/>
    <col min="2" max="6" width="20" customWidth="1"/>
  </cols>
  <sheetData>
    <row r="1">
      <c r="A1" s="6" t="s">
        <v>0</v>
      </c>
    </row>
    <row r="2">
      <c r="A2" s="1" t="s">
        <v>1</v>
      </c>
    </row>
    <row r="3"/>
    <row r="4">
      <c r="A4" s="2" t="s">
        <v>2</v>
      </c>
      <c r="B4" s="2"/>
    </row>
    <row r="5">
      <c r="A5" s="7" t="s">
        <v>3</v>
      </c>
      <c r="B5" s="5">
        <v>338.2</v>
      </c>
    </row>
    <row r="6">
      <c r="A6" s="7" t="s">
        <v>4</v>
      </c>
      <c r="B6" s="5">
        <v>1000</v>
      </c>
    </row>
    <row r="7"/>
    <row r="8">
      <c r="A8" s="2" t="s">
        <v>5</v>
      </c>
      <c r="B8" s="2"/>
    </row>
    <row r="9">
      <c r="A9" s="7" t="s">
        <v>6</v>
      </c>
      <c r="B9" s="7">
        <v>15</v>
      </c>
    </row>
    <row r="10">
      <c r="A10" s="7" t="s">
        <v>7</v>
      </c>
      <c r="B10" s="3">
        <v>16.49</v>
      </c>
    </row>
    <row r="11">
      <c r="A11" s="7" t="s">
        <v>8</v>
      </c>
      <c r="B11" s="3">
        <v>15.43</v>
      </c>
    </row>
    <row r="12">
      <c r="A12" s="7" t="s">
        <v>9</v>
      </c>
      <c r="B12" s="3">
        <v>7.98</v>
      </c>
    </row>
    <row r="13">
      <c r="A13" s="7" t="s">
        <v>10</v>
      </c>
      <c r="B13" s="3">
        <v>4.59</v>
      </c>
    </row>
    <row r="14">
      <c r="A14" s="7" t="s">
        <v>11</v>
      </c>
      <c r="B14" s="3">
        <v>38.77</v>
      </c>
    </row>
    <row r="15">
      <c r="A15" s="7" t="s">
        <v>12</v>
      </c>
      <c r="B15" s="3">
        <v>11.63</v>
      </c>
    </row>
    <row r="16">
      <c r="A16" s="7" t="s">
        <v>13</v>
      </c>
      <c r="B16" s="3">
        <v>19.72</v>
      </c>
    </row>
    <row r="17"/>
    <row r="18">
      <c r="A18" s="2" t="s">
        <v>14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19</v>
      </c>
    </row>
    <row r="19">
      <c r="A19" s="7" t="s">
        <v>20</v>
      </c>
      <c r="B19" s="3">
        <v>12.5</v>
      </c>
      <c r="C19" s="3">
        <f>ROUND(B5*(1-B19/100),2)</f>
      </c>
      <c r="D19" s="3">
        <f>C19*B6</f>
      </c>
      <c r="E19" s="7" t="s">
        <v>21</v>
      </c>
      <c r="F19" s="3">
        <f>(B5-C19)*B6</f>
      </c>
    </row>
    <row r="20">
      <c r="A20" s="5" t="s">
        <v>22</v>
      </c>
      <c r="B20" s="5">
        <v>15.7</v>
      </c>
      <c r="C20" s="5">
        <f>ROUND(B5*(1-B20/100),2)</f>
      </c>
      <c r="D20" s="5">
        <f>C20*B6</f>
      </c>
      <c r="E20" s="5" t="s">
        <v>23</v>
      </c>
      <c r="F20" s="5">
        <f>(B5-C20)*B6</f>
      </c>
    </row>
    <row r="21">
      <c r="A21" s="7" t="s">
        <v>24</v>
      </c>
      <c r="B21" s="3">
        <v>18.7</v>
      </c>
      <c r="C21" s="3">
        <f>ROUND(B5*(1-B21/100),2)</f>
      </c>
      <c r="D21" s="3">
        <f>C21*B6</f>
      </c>
      <c r="E21" s="7" t="s">
        <v>25</v>
      </c>
      <c r="F21" s="3">
        <f>(B5-C21)*B6</f>
      </c>
    </row>
    <row r="22"/>
    <row r="23">
      <c r="A23" s="2" t="s">
        <v>26</v>
      </c>
      <c r="B23" s="2" t="s">
        <v>16</v>
      </c>
      <c r="C23" s="2" t="s">
        <v>17</v>
      </c>
      <c r="D23" s="2" t="s">
        <v>27</v>
      </c>
      <c r="E23" s="2" t="s">
        <v>28</v>
      </c>
      <c r="F23" s="2" t="s">
        <v>29</v>
      </c>
    </row>
    <row r="24">
      <c r="A24" s="7" t="s">
        <v>30</v>
      </c>
      <c r="B24" s="3">
        <f>ROUND($B$5*(1-5/100),2)</f>
      </c>
      <c r="C24" s="3">
        <f>B24*$B$6</f>
      </c>
      <c r="D24" s="3">
        <f>($B$5-B24)*$B$6</f>
      </c>
      <c r="E24" s="4">
        <f>(5/100)</f>
      </c>
      <c r="F24" s="7" t="s">
        <v>31</v>
      </c>
    </row>
    <row r="25">
      <c r="A25" s="7" t="s">
        <v>32</v>
      </c>
      <c r="B25" s="3">
        <f>ROUND($B$5*(1-8/100),2)</f>
      </c>
      <c r="C25" s="3">
        <f>B25*$B$6</f>
      </c>
      <c r="D25" s="3">
        <f>($B$5-B25)*$B$6</f>
      </c>
      <c r="E25" s="4">
        <f>(8/100)</f>
      </c>
      <c r="F25" s="7" t="s">
        <v>31</v>
      </c>
    </row>
    <row r="26">
      <c r="A26" s="7" t="s">
        <v>33</v>
      </c>
      <c r="B26" s="3">
        <f>ROUND($B$5*(1-10/100),2)</f>
      </c>
      <c r="C26" s="3">
        <f>B26*$B$6</f>
      </c>
      <c r="D26" s="3">
        <f>($B$5-B26)*$B$6</f>
      </c>
      <c r="E26" s="4">
        <f>(10/100)</f>
      </c>
      <c r="F26" s="7" t="s">
        <v>31</v>
      </c>
    </row>
    <row r="27">
      <c r="A27" s="7" t="s">
        <v>34</v>
      </c>
      <c r="B27" s="3">
        <f>ROUND($B$5*(1-12/100),2)</f>
      </c>
      <c r="C27" s="3">
        <f>B27*$B$6</f>
      </c>
      <c r="D27" s="3">
        <f>($B$5-B27)*$B$6</f>
      </c>
      <c r="E27" s="4">
        <f>(12/100)</f>
      </c>
      <c r="F27" s="7" t="s">
        <v>35</v>
      </c>
    </row>
    <row r="28">
      <c r="A28" s="7" t="s">
        <v>36</v>
      </c>
      <c r="B28" s="3">
        <f>ROUND($B$5*(1-14/100),2)</f>
      </c>
      <c r="C28" s="3">
        <f>B28*$B$6</f>
      </c>
      <c r="D28" s="3">
        <f>($B$5-B28)*$B$6</f>
      </c>
      <c r="E28" s="4">
        <f>(14/100)</f>
      </c>
      <c r="F28" s="7" t="s">
        <v>37</v>
      </c>
    </row>
    <row r="29">
      <c r="A29" s="7" t="s">
        <v>38</v>
      </c>
      <c r="B29" s="3">
        <f>ROUND($B$5*(1-16/100),2)</f>
      </c>
      <c r="C29" s="3">
        <f>B29*$B$6</f>
      </c>
      <c r="D29" s="3">
        <f>($B$5-B29)*$B$6</f>
      </c>
      <c r="E29" s="4">
        <f>(16/100)</f>
      </c>
      <c r="F29" s="7" t="s">
        <v>39</v>
      </c>
    </row>
    <row r="30">
      <c r="A30" s="7" t="s">
        <v>40</v>
      </c>
      <c r="B30" s="3">
        <f>ROUND($B$5*(1-18/100),2)</f>
      </c>
      <c r="C30" s="3">
        <f>B30*$B$6</f>
      </c>
      <c r="D30" s="3">
        <f>($B$5-B30)*$B$6</f>
      </c>
      <c r="E30" s="4">
        <f>(18/100)</f>
      </c>
      <c r="F30" s="7" t="s">
        <v>41</v>
      </c>
    </row>
    <row r="31">
      <c r="A31" s="7" t="s">
        <v>42</v>
      </c>
      <c r="B31" s="3">
        <f>ROUND($B$5*(1-20/100),2)</f>
      </c>
      <c r="C31" s="3">
        <f>B31*$B$6</f>
      </c>
      <c r="D31" s="3">
        <f>($B$5-B31)*$B$6</f>
      </c>
      <c r="E31" s="4">
        <f>(20/100)</f>
      </c>
      <c r="F31" s="7" t="s">
        <v>43</v>
      </c>
    </row>
    <row r="33">
      <c r="A33" s="2" t="s">
        <v>44</v>
      </c>
    </row>
    <row r="34">
      <c r="A34" s="2" t="s">
        <v>45</v>
      </c>
      <c r="B34" s="2" t="s">
        <v>46</v>
      </c>
      <c r="C34" s="2" t="s">
        <v>47</v>
      </c>
      <c r="D34" s="2" t="s">
        <v>48</v>
      </c>
    </row>
    <row r="35">
      <c r="A35" s="7" t="s">
        <v>49</v>
      </c>
      <c r="B35" s="3">
        <v>271.25</v>
      </c>
      <c r="C35" s="3">
        <v>261.33</v>
      </c>
      <c r="D35" s="3">
        <v>252.03</v>
      </c>
    </row>
    <row r="36">
      <c r="A36" s="7" t="s">
        <v>50</v>
      </c>
      <c r="B36" s="3">
        <v>280.0</v>
      </c>
      <c r="C36" s="3">
        <v>269.76</v>
      </c>
      <c r="D36" s="3">
        <v>260.16</v>
      </c>
    </row>
    <row r="37">
      <c r="A37" s="7" t="s">
        <v>51</v>
      </c>
      <c r="B37" s="3">
        <v>288.75</v>
      </c>
      <c r="C37" s="3">
        <v>278.19</v>
      </c>
      <c r="D37" s="3">
        <v>268.29</v>
      </c>
    </row>
    <row r="38">
      <c r="A38" s="5" t="s">
        <v>52</v>
      </c>
      <c r="B38" s="5">
        <v>295.75</v>
      </c>
      <c r="C38" s="5">
        <v>284.93</v>
      </c>
      <c r="D38" s="5">
        <v>274.79</v>
      </c>
    </row>
    <row r="39">
      <c r="A39" s="7" t="s">
        <v>53</v>
      </c>
      <c r="B39" s="3">
        <v>306.25</v>
      </c>
      <c r="C39" s="3">
        <v>295.05</v>
      </c>
      <c r="D39" s="3">
        <v>284.55</v>
      </c>
    </row>
    <row r="40">
      <c r="A40" s="7" t="s">
        <v>54</v>
      </c>
      <c r="B40" s="3">
        <v>315.0</v>
      </c>
      <c r="C40" s="3">
        <v>303.48</v>
      </c>
      <c r="D40" s="3">
        <v>292.68</v>
      </c>
    </row>
    <row r="41">
      <c r="A41" s="7" t="s">
        <v>55</v>
      </c>
      <c r="B41" s="3">
        <v>323.75</v>
      </c>
      <c r="C41" s="3">
        <v>311.91</v>
      </c>
      <c r="D41" s="3">
        <v>300.81</v>
      </c>
    </row>
    <row r="43">
      <c r="A43" s="1" t="s">
        <v>56</v>
      </c>
    </row>
    <row r="44">
      <c r="A44" t="s">
        <v>57</v>
      </c>
    </row>
    <row r="45">
      <c r="A45" t="s">
        <v>58</v>
      </c>
    </row>
    <row r="46">
      <c r="A46" t="s">
        <v>59</v>
      </c>
    </row>
    <row r="47">
      <c r="A47" t="s">
        <v>60</v>
      </c>
    </row>
    <row r="49">
      <c r="A49" s="1" t="s">
        <v>61</v>
      </c>
    </row>
  </sheetData>
</worksheet>
</file>

<file path=xl/worksheets/sheet2.xml><?xml version="1.0" encoding="utf-8"?>
<worksheet xmlns="http://schemas.openxmlformats.org/spreadsheetml/2006/main">
  <cols>
    <col min="1" max="1" width="10" customWidth="1"/>
    <col min="2" max="2" width="38" customWidth="1"/>
    <col min="3" max="6" width="14" customWidth="1"/>
  </cols>
  <sheetData>
    <row r="1">
      <c r="A1" s="6" t="s">
        <v>62</v>
      </c>
    </row>
    <row r="2">
      <c r="A2" s="1" t="s">
        <v>63</v>
      </c>
    </row>
    <row r="3"/>
    <row r="4">
      <c r="A4" s="2" t="s">
        <v>64</v>
      </c>
      <c r="B4" s="2" t="s">
        <v>65</v>
      </c>
      <c r="C4" s="2" t="s">
        <v>66</v>
      </c>
      <c r="D4" s="2" t="s">
        <v>67</v>
      </c>
      <c r="E4" s="2" t="s">
        <v>15</v>
      </c>
      <c r="F4" s="2" t="s">
        <v>68</v>
      </c>
    </row>
    <row r="5">
      <c r="A5" s="7" t="s">
        <v>69</v>
      </c>
      <c r="B5" s="7" t="s">
        <v>70</v>
      </c>
      <c r="C5" s="3">
        <v>355.0</v>
      </c>
      <c r="D5" s="3">
        <v>318.1</v>
      </c>
      <c r="E5" s="3">
        <f>ROUND((C5-D5)/C5*100,2)</f>
      </c>
      <c r="F5" s="7" t="s">
        <v>71</v>
      </c>
    </row>
    <row r="6">
      <c r="A6" s="7" t="s">
        <v>72</v>
      </c>
      <c r="B6" s="7" t="s">
        <v>73</v>
      </c>
      <c r="C6" s="3">
        <v>253.0</v>
      </c>
      <c r="D6" s="3">
        <v>210.0</v>
      </c>
      <c r="E6" s="3">
        <f>ROUND((C6-D6)/C6*100,2)</f>
      </c>
      <c r="F6" s="7" t="s">
        <v>74</v>
      </c>
    </row>
    <row r="7">
      <c r="A7" s="7" t="s">
        <v>75</v>
      </c>
      <c r="B7" s="7" t="s">
        <v>76</v>
      </c>
      <c r="C7" s="3">
        <v>304.9</v>
      </c>
      <c r="D7" s="3">
        <v>244.0</v>
      </c>
      <c r="E7" s="3">
        <f>ROUND((C7-D7)/C7*100,2)</f>
      </c>
      <c r="F7" s="7" t="s">
        <v>77</v>
      </c>
    </row>
    <row r="8">
      <c r="A8" s="5" t="s">
        <v>78</v>
      </c>
      <c r="B8" s="5" t="s">
        <v>79</v>
      </c>
      <c r="C8" s="5">
        <v>337.0</v>
      </c>
      <c r="D8" s="5">
        <v>284.6</v>
      </c>
      <c r="E8" s="5">
        <f>ROUND((C8-D8)/C8*100,2)</f>
      </c>
      <c r="F8" s="5" t="s">
        <v>80</v>
      </c>
    </row>
    <row r="9">
      <c r="A9" s="7" t="s">
        <v>81</v>
      </c>
      <c r="B9" s="7" t="s">
        <v>82</v>
      </c>
      <c r="C9" s="3">
        <v>302.03</v>
      </c>
      <c r="D9" s="3">
        <v>261.5</v>
      </c>
      <c r="E9" s="3">
        <f>ROUND((C9-D9)/C9*100,2)</f>
      </c>
      <c r="F9" s="7" t="s">
        <v>83</v>
      </c>
    </row>
    <row r="10">
      <c r="A10" s="7" t="s">
        <v>84</v>
      </c>
      <c r="B10" s="7" t="s">
        <v>85</v>
      </c>
      <c r="C10" s="3">
        <v>367.77</v>
      </c>
      <c r="D10" s="3">
        <v>325.0</v>
      </c>
      <c r="E10" s="3">
        <f>ROUND((C10-D10)/C10*100,2)</f>
      </c>
      <c r="F10" s="7" t="s">
        <v>86</v>
      </c>
    </row>
    <row r="11">
      <c r="A11" s="7" t="s">
        <v>87</v>
      </c>
      <c r="B11" s="7" t="s">
        <v>88</v>
      </c>
      <c r="C11" s="3">
        <v>302.9</v>
      </c>
      <c r="D11" s="3">
        <v>266.2</v>
      </c>
      <c r="E11" s="3">
        <f>ROUND((C11-D11)/C11*100,2)</f>
      </c>
      <c r="F11" s="7" t="s">
        <v>89</v>
      </c>
    </row>
    <row r="12">
      <c r="A12" s="7" t="s">
        <v>90</v>
      </c>
      <c r="B12" s="7" t="s">
        <v>91</v>
      </c>
      <c r="C12" s="3">
        <v>316.23</v>
      </c>
      <c r="D12" s="3">
        <v>276.0</v>
      </c>
      <c r="E12" s="3">
        <f>ROUND((C12-D12)/C12*100,2)</f>
      </c>
      <c r="F12" s="7" t="s">
        <v>92</v>
      </c>
    </row>
    <row r="13">
      <c r="A13" s="5" t="s">
        <v>93</v>
      </c>
      <c r="B13" s="5" t="s">
        <v>94</v>
      </c>
      <c r="C13" s="5">
        <v>337.15</v>
      </c>
      <c r="D13" s="5">
        <v>283.0</v>
      </c>
      <c r="E13" s="5">
        <f>ROUND((C13-D13)/C13*100,2)</f>
      </c>
      <c r="F13" s="5" t="s">
        <v>95</v>
      </c>
    </row>
    <row r="14">
      <c r="A14" s="7" t="s">
        <v>93</v>
      </c>
      <c r="B14" s="7" t="s">
        <v>96</v>
      </c>
      <c r="C14" s="3">
        <v>380.54</v>
      </c>
      <c r="D14" s="3">
        <v>270.0</v>
      </c>
      <c r="E14" s="3">
        <f>ROUND((C14-D14)/C14*100,2)</f>
      </c>
      <c r="F14" s="7" t="s">
        <v>97</v>
      </c>
    </row>
    <row r="15">
      <c r="A15" s="7" t="s">
        <v>98</v>
      </c>
      <c r="B15" s="7" t="s">
        <v>99</v>
      </c>
      <c r="C15" s="3">
        <v>279.0</v>
      </c>
      <c r="D15" s="3">
        <v>266.2</v>
      </c>
      <c r="E15" s="3">
        <f>ROUND((C15-D15)/C15*100,2)</f>
      </c>
      <c r="F15" s="7" t="s">
        <v>100</v>
      </c>
    </row>
    <row r="16">
      <c r="A16" s="7" t="s">
        <v>101</v>
      </c>
      <c r="B16" s="7" t="s">
        <v>102</v>
      </c>
      <c r="C16" s="3">
        <v>369.1</v>
      </c>
      <c r="D16" s="3">
        <v>226.0</v>
      </c>
      <c r="E16" s="3">
        <f>ROUND((C16-D16)/C16*100,2)</f>
      </c>
      <c r="F16" s="7" t="s">
        <v>103</v>
      </c>
    </row>
    <row r="17">
      <c r="A17" s="7" t="s">
        <v>104</v>
      </c>
      <c r="B17" s="7" t="s">
        <v>105</v>
      </c>
      <c r="C17" s="3">
        <v>210.0</v>
      </c>
      <c r="D17" s="3">
        <v>187.1</v>
      </c>
      <c r="E17" s="3">
        <f>ROUND((C17-D17)/C17*100,2)</f>
      </c>
      <c r="F17" s="7" t="s">
        <v>106</v>
      </c>
    </row>
    <row r="18">
      <c r="A18" s="7" t="s">
        <v>107</v>
      </c>
      <c r="B18" s="7" t="s">
        <v>108</v>
      </c>
      <c r="C18" s="3">
        <v>213.0</v>
      </c>
      <c r="D18" s="3">
        <v>171.0</v>
      </c>
      <c r="E18" s="3">
        <f>ROUND((C18-D18)/C18*100,2)</f>
      </c>
      <c r="F18" s="7" t="s">
        <v>109</v>
      </c>
    </row>
    <row r="19">
      <c r="A19" s="7" t="s">
        <v>110</v>
      </c>
      <c r="B19" s="7" t="s">
        <v>111</v>
      </c>
      <c r="C19" s="3">
        <v>202.2</v>
      </c>
      <c r="D19" s="3">
        <v>171.0</v>
      </c>
      <c r="E19" s="3">
        <f>ROUND((C19-D19)/C19*100,2)</f>
      </c>
      <c r="F19" s="7" t="s">
        <v>112</v>
      </c>
    </row>
    <row r="21">
      <c r="A21" s="2" t="s">
        <v>113</v>
      </c>
    </row>
    <row r="22">
      <c r="A22" s="7" t="s">
        <v>114</v>
      </c>
      <c r="B22" s="3">
        <f>AVERAGE(E5:E19)</f>
      </c>
    </row>
    <row r="23">
      <c r="A23" s="7" t="s">
        <v>115</v>
      </c>
      <c r="B23" s="3">
        <f>MEDIAN(E5:E19)</f>
      </c>
    </row>
    <row r="24">
      <c r="A24" s="7" t="s">
        <v>116</v>
      </c>
      <c r="B24" s="3">
        <f>STDEV(E5:E19)</f>
      </c>
    </row>
    <row r="25">
      <c r="A25" s="7" t="s">
        <v>117</v>
      </c>
      <c r="B25" s="3">
        <f>MIN(E5:E19)</f>
      </c>
    </row>
    <row r="26">
      <c r="A26" s="7" t="s">
        <v>118</v>
      </c>
      <c r="B26" s="3">
        <f>MAX(E5:E19)</f>
      </c>
    </row>
  </sheetData>
</worksheet>
</file>

<file path=xl/worksheets/sheet3.xml><?xml version="1.0" encoding="utf-8"?>
<worksheet xmlns="http://schemas.openxmlformats.org/spreadsheetml/2006/main">
  <cols>
    <col min="1" max="1" width="100" customWidth="1"/>
  </cols>
  <sheetData>
    <row r="1">
      <c r="A1" s="6" t="s">
        <v>119</v>
      </c>
    </row>
    <row r="2"/>
    <row r="3">
      <c r="A3" s="1" t="s">
        <v>120</v>
      </c>
    </row>
    <row r="4">
      <c r="A4" t="s">
        <v>121</v>
      </c>
    </row>
    <row r="5">
      <c r="A5" t="s">
        <v>122</v>
      </c>
    </row>
    <row r="6">
      <c r="A6" t="s">
        <v>123</v>
      </c>
    </row>
    <row r="7">
      <c r="A7" t="s">
        <v>124</v>
      </c>
    </row>
    <row r="8"/>
    <row r="9">
      <c r="A9" s="1" t="s">
        <v>125</v>
      </c>
    </row>
    <row r="10">
      <c r="A10" t="s">
        <v>126</v>
      </c>
    </row>
    <row r="11">
      <c r="A11" t="s">
        <v>127</v>
      </c>
    </row>
    <row r="12"/>
    <row r="13">
      <c r="A13" s="1" t="s">
        <v>128</v>
      </c>
    </row>
    <row r="14">
      <c r="A14" t="s">
        <v>129</v>
      </c>
    </row>
    <row r="15">
      <c r="A15" t="s">
        <v>130</v>
      </c>
    </row>
    <row r="16"/>
    <row r="17">
      <c r="A17" s="1" t="s">
        <v>131</v>
      </c>
    </row>
    <row r="18">
      <c r="A18" s="5" t="s">
        <v>132</v>
      </c>
    </row>
    <row r="19">
      <c r="A19" s="5" t="s">
        <v>133</v>
      </c>
    </row>
    <row r="20">
      <c r="A20" t="s">
        <v>134</v>
      </c>
    </row>
    <row r="21">
      <c r="A21" t="s">
        <v>135</v>
      </c>
    </row>
    <row r="22"/>
    <row r="23">
      <c r="A23" s="1" t="s">
        <v>136</v>
      </c>
    </row>
    <row r="24">
      <c r="A24" t="s">
        <v>137</v>
      </c>
    </row>
    <row r="25">
      <c r="A25" t="s">
        <v>138</v>
      </c>
    </row>
    <row r="26">
      <c r="A26" t="s">
        <v>139</v>
      </c>
    </row>
    <row r="27">
      <c r="A27" t="s">
        <v>140</v>
      </c>
    </row>
    <row r="28"/>
    <row r="29">
      <c r="A29" s="1" t="s">
        <v>141</v>
      </c>
    </row>
    <row r="30">
      <c r="A30" t="s">
        <v>142</v>
      </c>
    </row>
    <row r="31">
      <c r="A31" t="s">
        <v>143</v>
      </c>
    </row>
    <row r="32">
      <c r="A32" t="s">
        <v>144</v>
      </c>
    </row>
  </sheetData>
</worksheet>
</file>